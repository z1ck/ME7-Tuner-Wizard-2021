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0" windowWidth="25200" windowHeight="11970" tabRatio="892" firstSheet="1" activeTab="1"/>
  </bookViews>
  <sheets>
    <sheet name="ME7 TUNER WIZZARD SETTINGS" sheetId="156" state="hidden" r:id="rId1"/>
    <sheet name="TITLE" sheetId="258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  <sheet name="ANTILAG|LAUNCH CONTROL MODDER" sheetId="256" r:id="rId13"/>
  </sheets>
  <functionGroups builtInGroupCount="17"/>
  <calcPr calcId="145621"/>
</workbook>
</file>

<file path=xl/calcChain.xml><?xml version="1.0" encoding="utf-8"?>
<calcChain xmlns="http://schemas.openxmlformats.org/spreadsheetml/2006/main">
  <c r="H20" i="258" l="1"/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D26" i="238" l="1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E5" i="2" l="1"/>
  <c r="F6" i="2"/>
  <c r="E9" i="2"/>
  <c r="F10" i="2"/>
  <c r="E13" i="2"/>
  <c r="F14" i="2"/>
  <c r="E17" i="2"/>
  <c r="F18" i="2"/>
  <c r="F13" i="2"/>
  <c r="F17" i="2"/>
  <c r="F8" i="2"/>
  <c r="F12" i="2"/>
  <c r="E4" i="2"/>
  <c r="F5" i="2"/>
  <c r="E8" i="2"/>
  <c r="F9" i="2"/>
  <c r="E12" i="2"/>
  <c r="E7" i="2"/>
  <c r="E11" i="2"/>
  <c r="E15" i="2"/>
  <c r="E19" i="2"/>
  <c r="E6" i="2"/>
  <c r="F7" i="2"/>
  <c r="E10" i="2"/>
  <c r="F11" i="2"/>
  <c r="E14" i="2"/>
  <c r="F15" i="2"/>
  <c r="E18" i="2"/>
  <c r="F19" i="2"/>
  <c r="E16" i="2"/>
  <c r="F4" i="2"/>
  <c r="F16" i="2"/>
  <c r="S11" i="2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  <c r="P24" i="2" l="1"/>
</calcChain>
</file>

<file path=xl/sharedStrings.xml><?xml version="1.0" encoding="utf-8"?>
<sst xmlns="http://schemas.openxmlformats.org/spreadsheetml/2006/main" count="3519" uniqueCount="1282">
  <si>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</si>
  <si>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</si>
  <si>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</si>
  <si>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</si>
  <si>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</si>
  <si>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</si>
  <si>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</si>
  <si>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</si>
  <si>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</si>
  <si>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</si>
  <si>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</si>
  <si>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</si>
  <si>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</si>
  <si>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</si>
  <si>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</si>
  <si>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</si>
  <si>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</si>
  <si>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</si>
  <si>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</si>
  <si>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</si>
  <si>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</si>
  <si>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</si>
  <si>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</si>
  <si>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</si>
  <si>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</si>
  <si>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</si>
  <si>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</si>
  <si>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</si>
  <si>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</si>
  <si>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</si>
  <si>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</si>
  <si>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</si>
  <si>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</si>
  <si>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</si>
  <si>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</si>
  <si>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</si>
  <si>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</si>
  <si>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</si>
  <si>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</si>
  <si>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</si>
  <si>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</si>
  <si>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</si>
  <si>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</si>
  <si>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</si>
  <si>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</si>
  <si>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</si>
  <si>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</si>
  <si>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</si>
  <si>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</si>
  <si>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</si>
  <si>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</si>
  <si>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</si>
  <si>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</si>
  <si>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</si>
  <si>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</si>
  <si>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</si>
  <si>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</si>
  <si>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</si>
  <si>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</si>
  <si>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</si>
  <si>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</si>
  <si>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</si>
  <si>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</si>
  <si>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</si>
  <si>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</si>
  <si>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</si>
  <si>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</si>
  <si>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</si>
  <si>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</si>
  <si>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</si>
  <si>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</si>
  <si>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</si>
  <si>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</si>
  <si>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</si>
  <si>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</si>
  <si>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</si>
  <si>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</si>
  <si>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</si>
  <si>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</si>
  <si>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</si>
  <si>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</si>
  <si>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</si>
  <si>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</si>
  <si>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</si>
  <si>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</si>
  <si>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</si>
  <si>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</si>
  <si>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</si>
  <si>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</si>
  <si>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</si>
  <si>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</si>
  <si>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</si>
  <si>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</si>
  <si>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</si>
  <si>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</si>
  <si>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</si>
  <si>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</si>
  <si>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</si>
  <si>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</si>
  <si>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</si>
  <si>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</si>
  <si>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</si>
  <si>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</si>
  <si>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</si>
  <si>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</si>
  <si>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</si>
  <si>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</si>
  <si>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</si>
  <si>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</si>
  <si>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</si>
  <si>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</si>
  <si>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</si>
  <si>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</si>
  <si>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</si>
  <si>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</si>
  <si>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</si>
  <si>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</si>
  <si>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</si>
  <si>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</si>
  <si>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</si>
  <si>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</si>
  <si>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</si>
  <si>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</si>
  <si>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</si>
  <si>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</si>
  <si>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</si>
  <si>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</si>
  <si>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</si>
  <si>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</si>
  <si>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</si>
  <si>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</si>
  <si>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</si>
  <si>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</si>
  <si>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</si>
  <si>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</si>
  <si>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</si>
  <si>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</si>
  <si>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</si>
  <si>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</si>
  <si>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</si>
  <si>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</si>
  <si>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</si>
  <si>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</si>
  <si>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</si>
  <si>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</si>
  <si>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</si>
  <si>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</si>
  <si>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</si>
  <si>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</si>
  <si>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</si>
  <si>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</si>
  <si>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</si>
  <si>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</si>
  <si>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</si>
  <si>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</si>
  <si>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</si>
  <si>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</si>
  <si>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</si>
  <si>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</si>
  <si>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</si>
  <si>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</si>
  <si>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</si>
  <si>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</si>
  <si>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</si>
  <si>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</si>
  <si>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</si>
  <si>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</si>
  <si>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</si>
  <si>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</si>
  <si>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</si>
  <si>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</si>
  <si>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</si>
  <si>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</si>
  <si>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</si>
  <si>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</si>
  <si>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</si>
  <si>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</si>
  <si>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</si>
  <si>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</si>
  <si>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</si>
  <si>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</si>
  <si>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</si>
  <si>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</si>
  <si>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</si>
  <si>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</si>
  <si>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</si>
  <si>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</si>
  <si>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</si>
  <si>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</si>
  <si>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</si>
  <si>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</si>
  <si>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</si>
  <si>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</si>
  <si>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</si>
  <si>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</si>
  <si>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</si>
  <si>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</si>
  <si>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</si>
  <si>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</si>
  <si>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</si>
  <si>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</si>
  <si>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</si>
  <si>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</si>
  <si>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</si>
  <si>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</si>
  <si>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</si>
  <si>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</si>
  <si>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</si>
  <si>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</si>
  <si>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</si>
  <si>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</si>
  <si>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</si>
  <si>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</si>
  <si>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</si>
  <si>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</si>
  <si>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</si>
  <si>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</si>
  <si>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</si>
  <si>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</si>
  <si>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</si>
  <si>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</si>
  <si>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</si>
  <si>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</si>
  <si>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</si>
  <si>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</si>
  <si>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</si>
  <si>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</si>
  <si>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</si>
  <si>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</si>
  <si>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</si>
  <si>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</si>
  <si>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</si>
  <si>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</si>
  <si>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</si>
  <si>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</si>
  <si>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</si>
  <si>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</si>
  <si>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</si>
  <si>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</si>
  <si>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</si>
  <si>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</si>
  <si>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</si>
  <si>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</si>
  <si>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</si>
  <si>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</si>
  <si>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</si>
  <si>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</si>
  <si>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</si>
  <si>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</si>
  <si>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</si>
  <si>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</si>
  <si>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</si>
  <si>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</si>
  <si>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</si>
  <si>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</si>
  <si>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</si>
  <si>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</si>
  <si>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</si>
  <si>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</si>
  <si>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</si>
  <si>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</si>
  <si>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</si>
  <si>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</si>
  <si>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</si>
  <si>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</si>
  <si>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</si>
  <si>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</si>
  <si>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</si>
  <si>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</si>
  <si>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</si>
  <si>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</si>
  <si>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</si>
  <si>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</si>
  <si>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</si>
  <si>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</si>
  <si>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</si>
  <si>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</si>
  <si>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</si>
  <si>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</si>
  <si>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</si>
  <si>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</si>
  <si>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</si>
  <si>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</si>
  <si>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</si>
  <si>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</si>
  <si>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</si>
  <si>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</si>
  <si>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</si>
  <si>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</si>
  <si>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</si>
  <si>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</si>
  <si>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</si>
  <si>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</si>
  <si>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</si>
  <si>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</si>
  <si>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</si>
  <si>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</si>
  <si>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</si>
  <si>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</si>
  <si>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</si>
  <si>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</si>
  <si>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</si>
  <si>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</si>
  <si>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</si>
  <si>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</si>
  <si>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</si>
  <si>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</si>
  <si>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</si>
  <si>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</si>
  <si>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</si>
  <si>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</si>
  <si>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</si>
  <si>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</si>
  <si>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</si>
  <si>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</si>
  <si>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</si>
  <si>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</si>
  <si>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</si>
  <si>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</si>
  <si>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</si>
  <si>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</si>
  <si>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</si>
  <si>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</si>
  <si>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</si>
  <si>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</si>
  <si>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</si>
  <si>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</si>
  <si>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</si>
  <si>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</si>
  <si>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</si>
  <si>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</si>
  <si>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</si>
  <si>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</si>
  <si>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</si>
  <si>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</si>
  <si>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</si>
  <si>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</si>
  <si>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</si>
  <si>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</si>
  <si>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</si>
  <si>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</si>
  <si>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</si>
  <si>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</si>
  <si>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</si>
  <si>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</si>
  <si>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</si>
  <si>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</si>
  <si>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</si>
  <si>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</si>
  <si>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</si>
  <si>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</si>
  <si>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</si>
  <si>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</si>
  <si>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</si>
  <si>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</si>
  <si>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</si>
  <si>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</si>
  <si>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</si>
  <si>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</si>
  <si>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</si>
  <si>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</si>
  <si>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</si>
  <si>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</si>
  <si>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</si>
  <si>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</si>
  <si>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</si>
  <si>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</si>
  <si>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</si>
  <si>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</si>
  <si>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</si>
  <si>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</si>
  <si>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</si>
  <si>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</si>
  <si>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</si>
  <si>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</si>
  <si>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</si>
  <si>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</si>
  <si>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</si>
  <si>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</si>
  <si>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</si>
  <si>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</si>
  <si>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</si>
  <si>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</si>
  <si>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</si>
  <si>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</si>
  <si>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</si>
  <si>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</si>
  <si>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</si>
  <si>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</si>
  <si>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</si>
  <si>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</si>
  <si>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</si>
  <si>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</si>
  <si>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</si>
  <si>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</si>
  <si>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</si>
  <si>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</si>
  <si>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</si>
  <si>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</si>
  <si>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</si>
  <si>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</si>
  <si>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</si>
  <si>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</si>
  <si>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</si>
  <si>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</si>
  <si>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</si>
  <si>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</si>
  <si>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</si>
  <si>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</si>
  <si>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</si>
  <si>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</si>
  <si>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</si>
  <si>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</si>
  <si>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</si>
  <si>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</si>
  <si>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</si>
  <si>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</si>
  <si>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</si>
  <si>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</si>
  <si>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</si>
  <si>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</si>
  <si>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</si>
  <si>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</si>
  <si>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</si>
  <si>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</si>
  <si>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</si>
  <si>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</si>
  <si>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</si>
  <si>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</si>
  <si>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</si>
  <si>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</si>
  <si>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</si>
  <si>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</si>
  <si>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</si>
  <si>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</si>
  <si>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</si>
  <si>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</si>
  <si>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</si>
  <si>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</si>
  <si>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</si>
  <si>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</si>
  <si>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</si>
  <si>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</si>
  <si>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</si>
  <si>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</si>
  <si>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</si>
  <si>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</si>
  <si>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</si>
  <si>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</si>
  <si>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</si>
  <si>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</si>
  <si>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</si>
  <si>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</si>
  <si>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</si>
  <si>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</si>
  <si>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</si>
  <si>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</si>
  <si>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</si>
  <si>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</si>
  <si>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</si>
  <si>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</si>
  <si>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</si>
  <si>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</si>
  <si>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</si>
  <si>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</si>
  <si>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</si>
  <si>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</si>
  <si>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</si>
  <si>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</si>
  <si>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</si>
  <si>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</si>
  <si>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</si>
  <si>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</si>
  <si>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</si>
  <si>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</si>
  <si>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</si>
  <si>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</si>
  <si>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</si>
  <si>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</si>
  <si>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</si>
  <si>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</si>
  <si>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</si>
  <si>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</si>
  <si>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</si>
  <si>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</si>
  <si>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</si>
  <si>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</si>
  <si>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</si>
  <si>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</si>
  <si>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</si>
  <si>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</si>
  <si>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</si>
  <si>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</si>
  <si>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</si>
  <si>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</si>
  <si>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</si>
  <si>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</si>
  <si>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</si>
  <si>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</si>
  <si>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</si>
  <si>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</si>
  <si>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</si>
  <si>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</si>
  <si>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</si>
  <si>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</si>
  <si>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</si>
  <si>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</si>
  <si>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</si>
  <si>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</si>
  <si>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</si>
  <si>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</si>
  <si>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</si>
  <si>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</si>
  <si>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</si>
  <si>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</si>
  <si>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</si>
  <si>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</si>
  <si>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</si>
  <si>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</si>
  <si>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</si>
  <si>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</si>
  <si>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</si>
  <si>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</si>
  <si>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</si>
  <si>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</si>
  <si>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</si>
  <si>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</si>
  <si>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</si>
  <si>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</si>
  <si>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</si>
  <si>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</si>
  <si>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</si>
  <si>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</si>
  <si>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</si>
  <si>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</si>
  <si>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</si>
  <si>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</si>
  <si>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</si>
  <si>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</si>
  <si>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</si>
  <si>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</si>
  <si>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</si>
  <si>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</si>
  <si>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</si>
  <si>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</si>
  <si>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</si>
  <si>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</si>
  <si>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</si>
  <si>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</si>
  <si>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</si>
  <si>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</si>
  <si>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</si>
  <si>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</si>
  <si>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</si>
  <si>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</si>
  <si>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</si>
  <si>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</si>
  <si>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</si>
  <si>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</si>
  <si>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</si>
  <si>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</si>
  <si>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</si>
  <si>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</si>
  <si>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</si>
  <si>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</si>
  <si>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</si>
  <si>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</si>
  <si>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</si>
  <si>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</si>
  <si>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</si>
  <si>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</si>
  <si>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</si>
  <si>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</si>
  <si>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</si>
  <si>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</si>
  <si>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</si>
  <si>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</si>
  <si>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</si>
  <si>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</si>
  <si>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</si>
  <si>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</si>
  <si>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</si>
  <si>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</si>
  <si>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</si>
  <si>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</si>
  <si>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</si>
  <si>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</si>
  <si>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</si>
  <si>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</si>
  <si>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</si>
  <si>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</si>
  <si>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</si>
  <si>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</si>
  <si>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</si>
  <si>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</si>
  <si>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</si>
  <si>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</si>
  <si>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</si>
  <si>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</si>
  <si>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</si>
  <si>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</si>
  <si>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</si>
  <si>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</si>
  <si>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</si>
  <si>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</si>
  <si>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</si>
  <si>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</si>
  <si>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</si>
  <si>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</si>
  <si>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</si>
  <si>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</si>
  <si>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</si>
  <si>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</si>
  <si>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</si>
  <si>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</si>
  <si>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</si>
  <si>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</si>
  <si>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</si>
  <si>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</si>
  <si>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</si>
  <si>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</si>
  <si>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</si>
  <si>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</si>
  <si>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</si>
  <si>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</si>
  <si>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</si>
  <si>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</si>
  <si>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</si>
  <si>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</si>
  <si>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</si>
  <si>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</si>
  <si>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</si>
  <si>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</si>
  <si>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</si>
  <si>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</si>
  <si>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</si>
  <si>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</si>
  <si>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</si>
  <si>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</si>
  <si>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</si>
  <si>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</si>
  <si>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</si>
  <si>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</si>
  <si>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</si>
  <si>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</si>
  <si>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</si>
  <si>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</si>
  <si>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</si>
  <si>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</si>
  <si>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</si>
  <si>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</si>
  <si>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</si>
  <si>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</si>
  <si>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</si>
  <si>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</si>
  <si>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</si>
  <si>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</si>
  <si>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</si>
  <si>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</si>
  <si>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</si>
  <si>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</si>
  <si>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</si>
  <si>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</si>
  <si>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</si>
  <si>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</si>
  <si>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</si>
  <si>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</si>
  <si>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</si>
  <si>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</si>
  <si>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</si>
  <si>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</si>
  <si>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</si>
  <si>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</si>
  <si>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</si>
  <si>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</si>
  <si>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</si>
  <si>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</si>
  <si>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</si>
  <si>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</si>
  <si>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</si>
  <si>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</si>
  <si>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</si>
  <si>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</si>
  <si>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</si>
  <si>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</si>
  <si>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</si>
  <si>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</si>
  <si>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</si>
  <si>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</si>
  <si>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</si>
  <si>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</si>
  <si>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</si>
  <si>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</si>
  <si>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</si>
  <si>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</si>
  <si>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</si>
  <si>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</si>
  <si>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</si>
  <si>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</si>
  <si>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</si>
  <si>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</si>
  <si>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</si>
  <si>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</si>
  <si>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</si>
  <si>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</si>
  <si>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</si>
  <si>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</si>
  <si>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</si>
  <si>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</si>
  <si>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</si>
  <si>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</si>
  <si>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</si>
  <si>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</si>
  <si>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</si>
  <si>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</si>
  <si>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</si>
  <si>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</si>
  <si>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</si>
  <si>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</si>
  <si>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</si>
  <si>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</si>
  <si>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</si>
  <si>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</si>
  <si>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</si>
  <si>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</si>
  <si>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</si>
  <si>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</si>
  <si>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</si>
  <si>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</si>
  <si>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</si>
  <si>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</si>
  <si>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</si>
  <si>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</si>
  <si>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</si>
  <si>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</si>
  <si>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</si>
  <si>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</si>
  <si>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</si>
  <si>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</si>
  <si>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</si>
  <si>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</si>
  <si>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</si>
  <si>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</si>
  <si>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</si>
  <si>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</si>
  <si>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</si>
  <si>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</si>
  <si>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</si>
  <si>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</si>
  <si>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</si>
  <si>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</si>
  <si>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</si>
  <si>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</si>
  <si>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</si>
  <si>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</si>
  <si>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</si>
  <si>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</si>
  <si>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</si>
  <si>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</si>
  <si>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</si>
  <si>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</si>
  <si>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</si>
  <si>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</si>
  <si>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</si>
  <si>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</si>
  <si>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</si>
  <si>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</si>
  <si>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</si>
  <si>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</si>
  <si>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</si>
  <si>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</si>
  <si>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</si>
  <si>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</si>
  <si>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</si>
  <si>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</si>
  <si>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</si>
  <si>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</si>
  <si>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</si>
  <si>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</si>
  <si>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</si>
  <si>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</si>
  <si>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</si>
  <si>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</si>
  <si>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</si>
  <si>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</si>
  <si>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</si>
  <si>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</si>
  <si>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</si>
  <si>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</si>
  <si>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</si>
  <si>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</si>
  <si>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</si>
  <si>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</si>
  <si>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</si>
  <si>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</si>
  <si>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</si>
  <si>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</si>
  <si>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</si>
  <si>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</si>
  <si>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</si>
  <si>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</si>
  <si>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</si>
  <si>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</si>
  <si>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</si>
  <si>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</si>
  <si>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</si>
  <si>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</si>
  <si>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</si>
  <si>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</si>
  <si>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</si>
  <si>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</si>
  <si>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</si>
  <si>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</si>
  <si>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</si>
  <si>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</si>
  <si>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</si>
  <si>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</si>
  <si>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</si>
  <si>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</si>
  <si>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</si>
  <si>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</si>
  <si>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</si>
  <si>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</si>
  <si>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</si>
  <si>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</si>
  <si>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</si>
  <si>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</si>
  <si>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</si>
  <si>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</si>
  <si>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</si>
  <si>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</si>
  <si>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</si>
  <si>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</si>
  <si>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</si>
  <si>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</si>
  <si>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</si>
  <si>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</si>
  <si>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</si>
  <si>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</si>
  <si>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</si>
  <si>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</si>
  <si>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</si>
  <si>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</si>
  <si>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</si>
  <si>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</si>
  <si>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</si>
  <si>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</si>
  <si>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</si>
  <si>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</si>
  <si>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</si>
  <si>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</si>
  <si>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</si>
  <si>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</si>
  <si>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</si>
  <si>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</si>
  <si>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</si>
  <si>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</si>
  <si>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</si>
  <si>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</si>
  <si>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</si>
  <si>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</si>
  <si>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</si>
  <si>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</si>
  <si>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</si>
  <si>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</si>
  <si>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</si>
  <si>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</si>
  <si>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</si>
  <si>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</si>
  <si>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</si>
  <si>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</si>
  <si>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</si>
  <si>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</si>
  <si>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</si>
  <si>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</si>
  <si>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</si>
  <si>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</si>
  <si>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</si>
  <si>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</si>
  <si>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</si>
  <si>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</si>
  <si>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</si>
  <si>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</si>
  <si>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</si>
  <si>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</si>
  <si>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</si>
  <si>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</si>
  <si>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</si>
  <si>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</si>
  <si>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</si>
  <si>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</si>
  <si>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</si>
  <si>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</si>
  <si>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</si>
  <si>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</si>
  <si>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</si>
  <si>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</si>
  <si>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</si>
  <si>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</si>
  <si>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</si>
  <si>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</si>
  <si>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</si>
  <si>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</si>
  <si>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</si>
  <si>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</si>
  <si>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</si>
  <si>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</si>
  <si>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</si>
  <si>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</si>
  <si>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</si>
  <si>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</si>
  <si>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</si>
  <si>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</si>
  <si>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</si>
  <si>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</si>
  <si>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</si>
  <si>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</si>
  <si>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</si>
  <si>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</si>
  <si>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</si>
  <si>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</si>
  <si>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</si>
  <si>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</si>
  <si>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</si>
  <si>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</si>
  <si>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</si>
  <si>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</si>
  <si>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</si>
  <si>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</si>
  <si>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</si>
  <si>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</si>
  <si>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</si>
  <si>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</si>
  <si>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</si>
  <si>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</si>
  <si>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</si>
  <si>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</si>
  <si>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</si>
  <si>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</si>
  <si>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</si>
  <si>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</si>
  <si>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</si>
  <si>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</si>
  <si>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</si>
  <si>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</si>
  <si>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</si>
  <si>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</si>
  <si>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</si>
  <si>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</si>
  <si>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</si>
  <si>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</si>
  <si>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</si>
  <si>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</si>
  <si>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</si>
  <si>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</si>
  <si>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</si>
  <si>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</si>
  <si>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</si>
  <si>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</si>
  <si>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</si>
  <si>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</si>
  <si>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</si>
  <si>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</si>
  <si>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</si>
  <si>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</si>
  <si>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</si>
  <si>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</si>
  <si>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</si>
  <si>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</si>
  <si>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</si>
  <si>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</si>
  <si>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</si>
  <si>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</si>
  <si>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</si>
  <si>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</si>
  <si>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</si>
  <si>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</si>
  <si>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</si>
  <si>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</si>
  <si>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</si>
  <si>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</si>
  <si>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</si>
  <si>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</si>
  <si>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</si>
  <si>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</si>
  <si>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</si>
  <si>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</si>
  <si>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</si>
  <si>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</si>
  <si>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</si>
  <si>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</si>
  <si>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</si>
  <si>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</si>
  <si>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</si>
  <si>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</si>
  <si>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</si>
  <si>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</si>
  <si>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</si>
  <si>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</si>
  <si>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</si>
  <si>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</si>
  <si>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</si>
  <si>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</si>
  <si>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</si>
  <si>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</si>
  <si>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</si>
  <si>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</si>
  <si>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</si>
  <si>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</si>
  <si>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</si>
  <si>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</si>
  <si>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</si>
  <si>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</si>
  <si>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</si>
  <si>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</si>
  <si>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</si>
  <si>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</si>
  <si>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</si>
  <si>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</si>
  <si>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</si>
  <si>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</si>
  <si>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</si>
  <si>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</si>
  <si>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</si>
  <si>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</si>
  <si>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</si>
  <si>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</si>
  <si>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</si>
  <si>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</si>
  <si>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</si>
  <si>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</si>
  <si>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</si>
  <si>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</si>
  <si>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</si>
  <si>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</si>
  <si>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</si>
  <si>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</si>
  <si>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</si>
  <si>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</si>
  <si>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</si>
  <si>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</si>
  <si>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</si>
  <si>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</si>
  <si>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</si>
  <si>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</si>
  <si>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</si>
  <si>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</si>
  <si>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</si>
  <si>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</si>
  <si>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</si>
  <si>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</si>
  <si>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</si>
  <si>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</si>
  <si>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</si>
  <si>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</si>
  <si>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</si>
  <si>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</si>
  <si>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</si>
  <si>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</si>
  <si>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</si>
  <si>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</si>
  <si>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</si>
  <si>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</si>
  <si>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</si>
  <si>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</si>
  <si>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</si>
  <si>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</si>
  <si>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</si>
  <si>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</si>
  <si>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</si>
  <si>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</si>
  <si>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</si>
  <si>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</si>
  <si>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</si>
  <si>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</si>
  <si>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</si>
  <si>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</si>
  <si>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</si>
  <si>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</si>
  <si>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</si>
  <si>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</si>
  <si>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</si>
  <si>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</si>
  <si>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</si>
  <si>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</si>
  <si>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</si>
  <si>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</si>
  <si>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</si>
  <si>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</si>
  <si>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</si>
  <si>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</si>
  <si>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</si>
  <si>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</si>
  <si>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</si>
  <si>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</si>
  <si>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</si>
  <si>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</si>
  <si>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</si>
  <si>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</si>
  <si>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</si>
  <si>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</si>
  <si>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</si>
  <si>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</si>
  <si>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</si>
  <si>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</si>
  <si>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</si>
  <si>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</si>
  <si>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</si>
  <si>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</si>
  <si>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</si>
  <si>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</si>
  <si>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</si>
  <si>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</si>
  <si>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</si>
  <si>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</si>
  <si>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</si>
  <si>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</si>
  <si>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</si>
  <si>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</si>
  <si>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</si>
  <si>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</si>
  <si>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</si>
  <si>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</si>
  <si>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</si>
  <si>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</si>
  <si>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</si>
  <si>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</si>
  <si>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</si>
  <si>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</si>
  <si>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</si>
  <si>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</si>
  <si>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</si>
  <si>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</si>
  <si>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</si>
  <si>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</si>
  <si>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</si>
  <si>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</si>
  <si>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</si>
  <si>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</si>
  <si>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</si>
  <si>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</si>
  <si>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</si>
  <si>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</si>
  <si>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</si>
  <si>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</si>
  <si>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</si>
  <si>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</si>
  <si>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</si>
  <si>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</si>
  <si>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</si>
  <si>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</si>
  <si>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</si>
  <si>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</si>
  <si>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</si>
  <si>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</si>
  <si>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</si>
  <si>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</si>
  <si>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</si>
  <si>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</si>
  <si>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</si>
  <si>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</si>
  <si>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</si>
  <si>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</si>
  <si>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</si>
  <si>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</si>
  <si>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</si>
  <si>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</si>
  <si>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</si>
  <si>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</si>
  <si>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</si>
  <si>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</si>
  <si>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</si>
  <si>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</si>
  <si>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</si>
  <si>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</si>
  <si>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</si>
  <si>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</si>
  <si>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</si>
  <si>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</si>
  <si>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</si>
  <si>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</si>
  <si>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</si>
  <si>
    <t>ORIGINAL FUNCTION</t>
  </si>
  <si>
    <t>MODIFIED FUNCTION</t>
  </si>
  <si>
    <t>1</t>
  </si>
  <si>
    <t>2</t>
  </si>
  <si>
    <t>3</t>
  </si>
  <si>
    <t>5</t>
  </si>
  <si>
    <t>6</t>
  </si>
  <si>
    <t>7</t>
  </si>
  <si>
    <t>9</t>
  </si>
  <si>
    <t>09</t>
  </si>
  <si>
    <t>12</t>
  </si>
  <si>
    <t>13</t>
  </si>
  <si>
    <t>A</t>
  </si>
  <si>
    <t>B</t>
  </si>
  <si>
    <t>C</t>
  </si>
  <si>
    <t>D</t>
  </si>
  <si>
    <t>E</t>
  </si>
  <si>
    <t>F</t>
  </si>
  <si>
    <t>0</t>
  </si>
  <si>
    <t>9A</t>
  </si>
  <si>
    <t>2B</t>
  </si>
  <si>
    <t>F2</t>
  </si>
  <si>
    <t>F4</t>
  </si>
  <si>
    <t>8E</t>
  </si>
  <si>
    <t>D7</t>
  </si>
  <si>
    <t>81</t>
  </si>
  <si>
    <t>F9</t>
  </si>
  <si>
    <t>7E</t>
  </si>
  <si>
    <t>49</t>
  </si>
  <si>
    <t>9D</t>
  </si>
  <si>
    <t>0B</t>
  </si>
  <si>
    <t>7A</t>
  </si>
  <si>
    <t>F8</t>
  </si>
  <si>
    <t>F7</t>
  </si>
  <si>
    <t>AC</t>
  </si>
  <si>
    <t>8D</t>
  </si>
  <si>
    <t>2F</t>
  </si>
  <si>
    <t>29</t>
  </si>
  <si>
    <t>8A</t>
  </si>
  <si>
    <t>60</t>
  </si>
  <si>
    <t>1A</t>
  </si>
  <si>
    <t>C2</t>
  </si>
  <si>
    <t>8B</t>
  </si>
  <si>
    <t>F0</t>
  </si>
  <si>
    <t>F6</t>
  </si>
  <si>
    <t>8F</t>
  </si>
  <si>
    <t>F3</t>
  </si>
  <si>
    <t>DB</t>
  </si>
  <si>
    <t>tsrldyn</t>
  </si>
  <si>
    <t>b_kuppl</t>
  </si>
  <si>
    <t>vfil_w</t>
  </si>
  <si>
    <t>nmot_w</t>
  </si>
  <si>
    <t>wped</t>
  </si>
  <si>
    <t>b_brems</t>
  </si>
  <si>
    <t>0x380BA4</t>
  </si>
  <si>
    <t>0x00FD4A</t>
  </si>
  <si>
    <t>0x381CB8</t>
  </si>
  <si>
    <t>0x00F89E</t>
  </si>
  <si>
    <t>0x3809A8</t>
  </si>
  <si>
    <t>address:</t>
  </si>
  <si>
    <t>bitmask:</t>
  </si>
  <si>
    <t>decoded:</t>
  </si>
  <si>
    <t>FTOMN</t>
  </si>
  <si>
    <t>SpeedThreshold</t>
  </si>
  <si>
    <t>LaunchRPM</t>
  </si>
  <si>
    <t>IgnitionCutDuration</t>
  </si>
  <si>
    <t>RPMThreshold</t>
  </si>
  <si>
    <t>AccPedalThreshold</t>
  </si>
  <si>
    <t>variable:</t>
  </si>
  <si>
    <t>MAP:</t>
  </si>
  <si>
    <t>NLS COUNT</t>
  </si>
  <si>
    <t>size:</t>
  </si>
  <si>
    <t>2byte</t>
  </si>
  <si>
    <t>1byte</t>
  </si>
  <si>
    <t>4 bytes before last "D7 40 06 02 03 F8":</t>
  </si>
  <si>
    <t>modified 4 bytes before last "D7 40 06 02 03 F8":</t>
  </si>
  <si>
    <t>9C</t>
  </si>
  <si>
    <t>MAIN FUNCTION</t>
  </si>
  <si>
    <t>DA</t>
  </si>
  <si>
    <t>0x017400</t>
  </si>
  <si>
    <t>0x017402</t>
  </si>
  <si>
    <t>0x017404</t>
  </si>
  <si>
    <t>0x017406</t>
  </si>
  <si>
    <t>0x017408</t>
  </si>
  <si>
    <t>0x01A61A</t>
  </si>
  <si>
    <t>0x0A6860</t>
  </si>
  <si>
    <t>11) ANTILAG|LAUNCH CONTROL MODDER</t>
  </si>
  <si>
    <t>74</t>
  </si>
  <si>
    <t>9E</t>
  </si>
  <si>
    <t>A8</t>
  </si>
  <si>
    <t>B8</t>
  </si>
  <si>
    <t>68</t>
  </si>
  <si>
    <t>0x384FF0</t>
  </si>
  <si>
    <t>0x200</t>
  </si>
  <si>
    <t>90</t>
  </si>
  <si>
    <t>9F</t>
  </si>
  <si>
    <t>0x1000</t>
  </si>
  <si>
    <t>C0</t>
  </si>
  <si>
    <t>7/23/2013  9:38:50 PM</t>
  </si>
  <si>
    <r>
      <rPr>
        <b/>
        <sz val="25"/>
        <color rgb="FFFF0000"/>
        <rFont val="Cambria"/>
        <family val="1"/>
        <charset val="186"/>
        <scheme val="major"/>
      </rPr>
      <t xml:space="preserve">ANTILAG/LAUNCH CONTROL </t>
    </r>
    <r>
      <rPr>
        <b/>
        <sz val="25"/>
        <rFont val="Cambria"/>
        <family val="1"/>
        <charset val="186"/>
        <scheme val="major"/>
      </rPr>
      <t>MODDER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(function by setzi62)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</si>
</sst>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44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  <font>
      <sz val="13"/>
      <color rgb="FFF9B277"/>
      <name val="Terminal"/>
      <family val="3"/>
      <charset val="255"/>
    </font>
    <font>
      <b/>
      <sz val="11"/>
      <color rgb="FFFF9933"/>
      <name val="Calibri"/>
      <family val="2"/>
      <charset val="186"/>
      <scheme val="minor"/>
    </font>
    <font>
      <b/>
      <sz val="25"/>
      <name val="Cambria"/>
      <family val="1"/>
      <charset val="186"/>
      <scheme val="major"/>
    </font>
    <font>
      <sz val="11"/>
      <color rgb="FFFF9933"/>
      <name val="Calibri"/>
      <family val="2"/>
      <charset val="186"/>
      <scheme val="minor"/>
    </font>
    <font>
      <sz val="11"/>
      <color rgb="FFDBE5F1"/>
      <name val="Calibri"/>
      <family val="2"/>
      <charset val="186"/>
      <scheme val="minor"/>
    </font>
    <font>
      <sz val="10"/>
      <name val="Terminal"/>
      <family val="3"/>
      <charset val="255"/>
    </font>
    <font>
      <sz val="8"/>
      <color rgb="FF000000"/>
      <name val="Tahoma"/>
      <family val="2"/>
      <charset val="186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11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medium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14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4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49" fontId="1" fillId="12" borderId="84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4" fillId="7" borderId="0" xfId="0" applyFont="1" applyFill="1" applyProtection="1">
      <protection hidden="1"/>
    </xf>
    <xf numFmtId="0" fontId="35" fillId="8" borderId="0" xfId="0" applyFont="1" applyFill="1" applyProtection="1">
      <protection hidden="1"/>
    </xf>
    <xf numFmtId="0" fontId="34" fillId="21" borderId="0" xfId="0" applyFont="1" applyFill="1" applyProtection="1">
      <protection hidden="1"/>
    </xf>
    <xf numFmtId="1" fontId="34" fillId="13" borderId="0" xfId="0" applyNumberFormat="1" applyFont="1" applyFill="1" applyAlignment="1" applyProtection="1">
      <alignment horizontal="center" vertical="center"/>
      <protection locked="0" hidden="1"/>
    </xf>
    <xf numFmtId="0" fontId="35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10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1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2" xfId="0" applyNumberFormat="1" applyFont="1" applyFill="1" applyBorder="1" applyAlignment="1" applyProtection="1">
      <alignment horizontal="center" vertical="center"/>
      <protection locked="0" hidden="1"/>
    </xf>
    <xf numFmtId="49" fontId="30" fillId="19" borderId="103" xfId="0" applyNumberFormat="1" applyFont="1" applyFill="1" applyBorder="1" applyAlignment="1" applyProtection="1">
      <alignment horizontal="center" vertical="center"/>
      <protection hidden="1"/>
    </xf>
    <xf numFmtId="49" fontId="30" fillId="19" borderId="104" xfId="0" applyNumberFormat="1" applyFont="1" applyFill="1" applyBorder="1" applyAlignment="1" applyProtection="1">
      <alignment horizontal="center" vertical="center"/>
      <protection hidden="1"/>
    </xf>
    <xf numFmtId="49" fontId="30" fillId="19" borderId="105" xfId="0" applyNumberFormat="1" applyFont="1" applyFill="1" applyBorder="1" applyAlignment="1" applyProtection="1">
      <alignment horizontal="center" vertical="center"/>
      <protection hidden="1"/>
    </xf>
    <xf numFmtId="49" fontId="30" fillId="19" borderId="106" xfId="0" applyNumberFormat="1" applyFont="1" applyFill="1" applyBorder="1" applyAlignment="1" applyProtection="1">
      <alignment horizontal="center" vertical="center"/>
      <protection hidden="1"/>
    </xf>
    <xf numFmtId="49" fontId="30" fillId="19" borderId="107" xfId="0" applyNumberFormat="1" applyFont="1" applyFill="1" applyBorder="1" applyAlignment="1" applyProtection="1">
      <alignment horizontal="center" vertical="center"/>
      <protection hidden="1"/>
    </xf>
    <xf numFmtId="49" fontId="30" fillId="19" borderId="108" xfId="0" applyNumberFormat="1" applyFont="1" applyFill="1" applyBorder="1" applyAlignment="1" applyProtection="1">
      <alignment horizontal="center" vertical="center"/>
      <protection hidden="1"/>
    </xf>
    <xf numFmtId="49" fontId="30" fillId="19" borderId="109" xfId="0" applyNumberFormat="1" applyFont="1" applyFill="1" applyBorder="1" applyAlignment="1" applyProtection="1">
      <alignment horizontal="center" vertical="center"/>
      <protection hidden="1"/>
    </xf>
    <xf numFmtId="49" fontId="30" fillId="19" borderId="110" xfId="0" applyNumberFormat="1" applyFont="1" applyFill="1" applyBorder="1" applyAlignment="1" applyProtection="1">
      <alignment horizontal="center" vertical="center"/>
      <protection hidden="1"/>
    </xf>
    <xf numFmtId="49" fontId="37" fillId="8" borderId="0" xfId="0" applyNumberFormat="1" applyFont="1" applyFill="1" applyAlignment="1" applyProtection="1">
      <alignment horizontal="right" vertical="center"/>
      <protection hidden="1"/>
    </xf>
    <xf numFmtId="49" fontId="42" fillId="19" borderId="34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49" fontId="0" fillId="8" borderId="0" xfId="0" applyNumberFormat="1" applyFill="1" applyAlignment="1" applyProtection="1">
      <alignment vertical="center"/>
      <protection hidden="1"/>
    </xf>
    <xf numFmtId="49" fontId="0" fillId="8" borderId="0" xfId="0" applyNumberFormat="1" applyFill="1" applyProtection="1"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38" fillId="8" borderId="0" xfId="0" applyNumberFormat="1" applyFont="1" applyFill="1" applyProtection="1"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0" fillId="8" borderId="0" xfId="0" applyNumberFormat="1" applyFont="1" applyFill="1" applyAlignment="1" applyProtection="1">
      <alignment horizontal="left"/>
      <protection hidden="1"/>
    </xf>
    <xf numFmtId="49" fontId="0" fillId="8" borderId="0" xfId="0" applyNumberFormat="1" applyFill="1" applyBorder="1" applyProtection="1">
      <protection hidden="1"/>
    </xf>
    <xf numFmtId="49" fontId="0" fillId="13" borderId="9" xfId="0" applyNumberFormat="1" applyFill="1" applyBorder="1" applyAlignment="1" applyProtection="1">
      <alignment horizontal="center" vertical="center"/>
      <protection locked="0"/>
    </xf>
    <xf numFmtId="49" fontId="0" fillId="14" borderId="9" xfId="0" applyNumberFormat="1" applyFill="1" applyBorder="1" applyAlignment="1" applyProtection="1">
      <alignment horizontal="center" vertical="center"/>
      <protection hidden="1"/>
    </xf>
    <xf numFmtId="49" fontId="0" fillId="7" borderId="0" xfId="0" applyNumberFormat="1" applyFill="1" applyAlignment="1" applyProtection="1">
      <alignment vertical="center"/>
      <protection hidden="1"/>
    </xf>
    <xf numFmtId="49" fontId="0" fillId="7" borderId="0" xfId="0" applyNumberFormat="1" applyFill="1" applyProtection="1">
      <protection hidden="1"/>
    </xf>
    <xf numFmtId="49" fontId="0" fillId="8" borderId="0" xfId="0" applyNumberFormat="1" applyFill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6" fillId="8" borderId="0" xfId="0" applyFont="1" applyFill="1" applyAlignment="1" applyProtection="1">
      <alignment horizontal="center" vertical="center"/>
      <protection hidden="1"/>
    </xf>
    <xf numFmtId="0" fontId="35" fillId="8" borderId="0" xfId="0" applyFont="1" applyFill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  <xf numFmtId="49" fontId="8" fillId="8" borderId="81" xfId="0" applyNumberFormat="1" applyFont="1" applyFill="1" applyBorder="1" applyAlignment="1" applyProtection="1">
      <alignment horizontal="center" vertical="center"/>
      <protection hidden="1"/>
    </xf>
    <xf numFmtId="49" fontId="0" fillId="0" borderId="81" xfId="0" applyNumberFormat="1" applyBorder="1" applyAlignment="1" applyProtection="1">
      <alignment horizontal="center" vertical="center"/>
      <protection hidden="1"/>
    </xf>
    <xf numFmtId="49" fontId="0" fillId="13" borderId="11" xfId="0" applyNumberFormat="1" applyFill="1" applyBorder="1" applyAlignment="1" applyProtection="1">
      <alignment horizontal="left" vertical="center"/>
      <protection locked="0"/>
    </xf>
    <xf numFmtId="49" fontId="0" fillId="13" borderId="90" xfId="0" applyNumberFormat="1" applyFill="1" applyBorder="1" applyAlignment="1" applyProtection="1">
      <alignment horizontal="left" vertical="center"/>
      <protection locked="0"/>
    </xf>
    <xf numFmtId="49" fontId="0" fillId="13" borderId="12" xfId="0" applyNumberFormat="1" applyFill="1" applyBorder="1" applyAlignment="1" applyProtection="1">
      <alignment horizontal="left" vertical="center"/>
      <protection locked="0"/>
    </xf>
    <xf numFmtId="49" fontId="38" fillId="8" borderId="0" xfId="0" applyNumberFormat="1" applyFont="1" applyFill="1" applyBorder="1" applyAlignment="1" applyProtection="1">
      <alignment horizontal="center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hidden="1"/>
    </xf>
    <xf numFmtId="49" fontId="0" fillId="14" borderId="90" xfId="0" applyNumberFormat="1" applyFill="1" applyBorder="1" applyAlignment="1" applyProtection="1">
      <alignment horizontal="left" vertical="center"/>
      <protection hidden="1"/>
    </xf>
    <xf numFmtId="49" fontId="0" fillId="14" borderId="12" xfId="0" applyNumberFormat="1" applyFill="1" applyBorder="1" applyAlignment="1" applyProtection="1">
      <alignment horizontal="left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locked="0" hidden="1"/>
    </xf>
    <xf numFmtId="49" fontId="0" fillId="14" borderId="90" xfId="0" applyNumberFormat="1" applyFill="1" applyBorder="1" applyAlignment="1" applyProtection="1">
      <alignment horizontal="left" vertical="center"/>
      <protection locked="0" hidden="1"/>
    </xf>
    <xf numFmtId="49" fontId="0" fillId="14" borderId="12" xfId="0" applyNumberFormat="1" applyFill="1" applyBorder="1" applyAlignment="1" applyProtection="1">
      <alignment horizontal="left" vertical="center"/>
      <protection locked="0" hidden="1"/>
    </xf>
    <xf numFmtId="49" fontId="0" fillId="8" borderId="3" xfId="0" applyNumberFormat="1" applyFill="1" applyBorder="1" applyAlignment="1" applyProtection="1">
      <alignment horizontal="left" vertical="center"/>
      <protection hidden="1"/>
    </xf>
    <xf numFmtId="49" fontId="0" fillId="8" borderId="2" xfId="0" applyNumberFormat="1" applyFill="1" applyBorder="1" applyAlignment="1" applyProtection="1">
      <alignment horizontal="left" vertical="center"/>
      <protection hidden="1"/>
    </xf>
    <xf numFmtId="49" fontId="38" fillId="8" borderId="1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1" fillId="8" borderId="7" xfId="0" applyNumberFormat="1" applyFont="1" applyFill="1" applyBorder="1" applyAlignment="1" applyProtection="1">
      <alignment horizontal="right" vertical="center"/>
      <protection hidden="1"/>
    </xf>
    <xf numFmtId="49" fontId="38" fillId="8" borderId="0" xfId="0" applyNumberFormat="1" applyFont="1" applyFill="1" applyAlignment="1" applyProtection="1">
      <alignment horizontal="left" vertical="center"/>
      <protection hidden="1"/>
    </xf>
    <xf numFmtId="49" fontId="0" fillId="13" borderId="9" xfId="0" applyNumberForma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2">
    <dxf>
      <font>
        <color rgb="FFFF0000"/>
      </font>
    </dxf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B2A1C7"/>
      <color rgb="FFC5D9F1"/>
      <color rgb="FF7F7F7F"/>
      <color rgb="FF646464"/>
      <color rgb="FFFF9933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300" t="s">
        <v>22</v>
      </c>
      <c r="F7" s="300"/>
      <c r="G7" s="300"/>
      <c r="H7" s="300"/>
      <c r="I7" s="300"/>
      <c r="J7" s="300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97" t="s">
        <v>23</v>
      </c>
      <c r="F9" s="297"/>
      <c r="G9" s="297"/>
      <c r="H9" s="298" t="s">
        <v>1280</v>
      </c>
      <c r="I9" s="299"/>
      <c r="J9" s="299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97" t="s">
        <v>26</v>
      </c>
      <c r="F11" s="297"/>
      <c r="G11" s="297"/>
      <c r="H11" s="298">
        <v>3438</v>
      </c>
      <c r="I11" s="299"/>
      <c r="J11" s="299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97" t="s">
        <v>24</v>
      </c>
      <c r="F13" s="297"/>
      <c r="G13" s="297"/>
      <c r="H13" s="298" t="s">
        <v>25</v>
      </c>
      <c r="I13" s="299"/>
      <c r="J13" s="299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algorithmName="SHA-512" hashValue="VvJqPGbhJ84r/Xu+1gs7+AsXOno33nYO4xHyOe2nuYqcEw42r6Z+tknrVordXAcwt/wB84ihE/8EUw0akXqkvA==" saltValue="i4hnhEdbn6Zsb2pCb3Jd8w==" spinCount="100000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0"/>
  <sheetViews>
    <sheetView showRowColHeaders="0" tabSelected="1" workbookViewId="0">
      <selection activeCell="D18" sqref="D18:K18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301" t="s">
        <v>28</v>
      </c>
      <c r="J1" s="302"/>
      <c r="K1" s="302"/>
      <c r="L1" s="302"/>
    </row>
    <row r="2" spans="2:13" ht="60" customHeight="1" x14ac:dyDescent="0.25">
      <c r="C2" s="310" t="s">
        <v>21</v>
      </c>
      <c r="D2" s="311"/>
      <c r="E2" s="311"/>
      <c r="F2" s="311"/>
      <c r="G2" s="311"/>
      <c r="H2" s="311"/>
      <c r="I2" s="311"/>
      <c r="J2" s="311"/>
      <c r="K2" s="311"/>
      <c r="L2" s="311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303" t="s">
        <v>10</v>
      </c>
      <c r="E6" s="304"/>
      <c r="F6" s="304"/>
      <c r="G6" s="304"/>
      <c r="H6" s="304"/>
      <c r="I6" s="304"/>
      <c r="J6" s="304"/>
      <c r="K6" s="304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308" t="s">
        <v>1017</v>
      </c>
      <c r="E8" s="309"/>
      <c r="F8" s="309"/>
      <c r="G8" s="309"/>
      <c r="H8" s="309"/>
      <c r="I8" s="309"/>
      <c r="J8" s="309"/>
      <c r="K8" s="309"/>
      <c r="L8" s="70"/>
      <c r="M8" s="1"/>
    </row>
    <row r="9" spans="2:13" x14ac:dyDescent="0.25">
      <c r="B9" s="1"/>
      <c r="C9" s="69"/>
      <c r="D9" s="308" t="s">
        <v>1149</v>
      </c>
      <c r="E9" s="309"/>
      <c r="F9" s="309"/>
      <c r="G9" s="309"/>
      <c r="H9" s="309"/>
      <c r="I9" s="309"/>
      <c r="J9" s="309"/>
      <c r="K9" s="309"/>
      <c r="L9" s="70"/>
      <c r="M9" s="1"/>
    </row>
    <row r="10" spans="2:13" x14ac:dyDescent="0.25">
      <c r="B10" s="1"/>
      <c r="C10" s="69"/>
      <c r="D10" s="308" t="s">
        <v>1150</v>
      </c>
      <c r="E10" s="309"/>
      <c r="F10" s="309"/>
      <c r="G10" s="309"/>
      <c r="H10" s="309"/>
      <c r="I10" s="309"/>
      <c r="J10" s="309"/>
      <c r="K10" s="309"/>
      <c r="L10" s="70"/>
      <c r="M10" s="1"/>
    </row>
    <row r="11" spans="2:13" x14ac:dyDescent="0.25">
      <c r="B11" s="1"/>
      <c r="C11" s="69"/>
      <c r="D11" s="308" t="s">
        <v>1151</v>
      </c>
      <c r="E11" s="309"/>
      <c r="F11" s="309"/>
      <c r="G11" s="309"/>
      <c r="H11" s="309"/>
      <c r="I11" s="309"/>
      <c r="J11" s="309"/>
      <c r="K11" s="309"/>
      <c r="L11" s="70"/>
      <c r="M11" s="1"/>
    </row>
    <row r="12" spans="2:13" x14ac:dyDescent="0.25">
      <c r="B12" s="1"/>
      <c r="C12" s="69"/>
      <c r="D12" s="308" t="s">
        <v>1152</v>
      </c>
      <c r="E12" s="309"/>
      <c r="F12" s="309"/>
      <c r="G12" s="309"/>
      <c r="H12" s="309"/>
      <c r="I12" s="309"/>
      <c r="J12" s="309"/>
      <c r="K12" s="309"/>
      <c r="L12" s="70"/>
      <c r="M12" s="1"/>
    </row>
    <row r="13" spans="2:13" x14ac:dyDescent="0.25">
      <c r="B13" s="1"/>
      <c r="C13" s="69"/>
      <c r="D13" s="308" t="s">
        <v>1153</v>
      </c>
      <c r="E13" s="309"/>
      <c r="F13" s="309"/>
      <c r="G13" s="309"/>
      <c r="H13" s="309"/>
      <c r="I13" s="309"/>
      <c r="J13" s="309"/>
      <c r="K13" s="309"/>
      <c r="L13" s="70"/>
      <c r="M13" s="1"/>
    </row>
    <row r="14" spans="2:13" x14ac:dyDescent="0.25">
      <c r="B14" s="1"/>
      <c r="C14" s="69"/>
      <c r="D14" s="308" t="s">
        <v>1154</v>
      </c>
      <c r="E14" s="309"/>
      <c r="F14" s="309"/>
      <c r="G14" s="309"/>
      <c r="H14" s="309"/>
      <c r="I14" s="309"/>
      <c r="J14" s="309"/>
      <c r="K14" s="309"/>
      <c r="L14" s="70"/>
      <c r="M14" s="1"/>
    </row>
    <row r="15" spans="2:13" x14ac:dyDescent="0.25">
      <c r="B15" s="1"/>
      <c r="C15" s="69"/>
      <c r="D15" s="308" t="s">
        <v>1155</v>
      </c>
      <c r="E15" s="309"/>
      <c r="F15" s="309"/>
      <c r="G15" s="309"/>
      <c r="H15" s="309"/>
      <c r="I15" s="309"/>
      <c r="J15" s="309"/>
      <c r="K15" s="309"/>
      <c r="L15" s="70"/>
      <c r="M15" s="1"/>
    </row>
    <row r="16" spans="2:13" x14ac:dyDescent="0.25">
      <c r="B16" s="1"/>
      <c r="C16" s="69"/>
      <c r="D16" s="308" t="s">
        <v>1156</v>
      </c>
      <c r="E16" s="309"/>
      <c r="F16" s="309"/>
      <c r="G16" s="309"/>
      <c r="H16" s="309"/>
      <c r="I16" s="309"/>
      <c r="J16" s="309"/>
      <c r="K16" s="309"/>
      <c r="L16" s="70"/>
      <c r="M16" s="1"/>
    </row>
    <row r="17" spans="2:13" x14ac:dyDescent="0.25">
      <c r="B17" s="1"/>
      <c r="C17" s="69"/>
      <c r="D17" s="308" t="s">
        <v>1157</v>
      </c>
      <c r="E17" s="309"/>
      <c r="F17" s="309"/>
      <c r="G17" s="309"/>
      <c r="H17" s="309"/>
      <c r="I17" s="309"/>
      <c r="J17" s="309"/>
      <c r="K17" s="309"/>
      <c r="L17" s="70"/>
      <c r="M17" s="1"/>
    </row>
    <row r="18" spans="2:13" x14ac:dyDescent="0.25">
      <c r="B18" s="1"/>
      <c r="C18" s="69"/>
      <c r="D18" s="308" t="s">
        <v>1268</v>
      </c>
      <c r="E18" s="309"/>
      <c r="F18" s="309"/>
      <c r="G18" s="309"/>
      <c r="H18" s="309"/>
      <c r="I18" s="309"/>
      <c r="J18" s="309"/>
      <c r="K18" s="309"/>
      <c r="L18" s="70"/>
      <c r="M18" s="1"/>
    </row>
    <row r="19" spans="2:13" x14ac:dyDescent="0.25">
      <c r="B19" s="1"/>
      <c r="C19" s="72"/>
      <c r="D19" s="108"/>
      <c r="E19" s="108"/>
      <c r="F19" s="108"/>
      <c r="G19" s="108"/>
      <c r="H19" s="108"/>
      <c r="I19" s="108"/>
      <c r="J19" s="108"/>
      <c r="K19" s="108"/>
      <c r="L19" s="73"/>
      <c r="M19" s="1"/>
    </row>
    <row r="20" spans="2:13" x14ac:dyDescent="0.25">
      <c r="B20" s="1"/>
      <c r="C20" s="1"/>
      <c r="D20" s="307" t="s">
        <v>27</v>
      </c>
      <c r="E20" s="307"/>
      <c r="F20" s="307"/>
      <c r="G20" s="307"/>
      <c r="H20" s="305" t="str">
        <f t="shared" ref="H20" si="0">HYPERLINK("mailto:marius.guscius@vwklubas.lt", "&lt;marius.guscius@vwklubas.lt&gt;")</f>
        <v>&lt;marius.guscius@vwklubas.lt&gt;</v>
      </c>
      <c r="I20" s="306"/>
      <c r="J20" s="306"/>
      <c r="K20" s="306"/>
      <c r="L20" s="1"/>
      <c r="M20" s="1"/>
    </row>
  </sheetData>
  <sheetProtection password="FD37" sheet="1" objects="1" scenarios="1"/>
  <mergeCells count="16">
    <mergeCell ref="I1:L1"/>
    <mergeCell ref="D6:K6"/>
    <mergeCell ref="H20:K20"/>
    <mergeCell ref="D20:G20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  <mergeCell ref="D18:K18"/>
    <mergeCell ref="C2:L2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  <hyperlink ref="D18:K18" location="'ANTILAG|LAUNCH CONTROL MODDER'!A1" display="11) ANTILAG|LAUNCH CONTROL MODDE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X25" sqref="X25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312" t="s">
        <v>1076</v>
      </c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314"/>
    </row>
    <row r="3" spans="2:38" x14ac:dyDescent="0.25">
      <c r="B3" s="48"/>
      <c r="C3" s="324" t="s">
        <v>1080</v>
      </c>
      <c r="D3" s="325"/>
      <c r="E3" s="325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27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22"/>
      <c r="U4" s="329" t="s">
        <v>1075</v>
      </c>
      <c r="V4" s="330"/>
      <c r="W4" s="330"/>
      <c r="X4" s="330"/>
      <c r="Y4" s="330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27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27"/>
      <c r="D6" s="326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6"/>
      <c r="S6" s="22"/>
      <c r="U6" s="329" t="s">
        <v>1072</v>
      </c>
      <c r="V6" s="330"/>
      <c r="W6" s="330"/>
      <c r="X6" s="330"/>
      <c r="Y6" s="330"/>
      <c r="Z6" s="333" t="s">
        <v>1079</v>
      </c>
      <c r="AA6" s="334"/>
      <c r="AB6" s="334"/>
      <c r="AC6" s="334"/>
      <c r="AD6" s="334"/>
      <c r="AE6" s="335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27"/>
      <c r="D7" s="326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27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6"/>
      <c r="S8" s="1"/>
      <c r="U8" s="329" t="s">
        <v>1073</v>
      </c>
      <c r="V8" s="330"/>
      <c r="W8" s="330"/>
      <c r="X8" s="319" t="s">
        <v>1138</v>
      </c>
      <c r="Y8" s="320"/>
      <c r="Z8" s="320"/>
      <c r="AA8" s="320"/>
      <c r="AB8" s="320"/>
      <c r="AC8" s="320"/>
      <c r="AD8" s="320"/>
      <c r="AE8" s="319" t="s">
        <v>1138</v>
      </c>
      <c r="AF8" s="320"/>
      <c r="AG8" s="320"/>
      <c r="AH8" s="320"/>
      <c r="AI8" s="320"/>
      <c r="AJ8" s="320"/>
      <c r="AK8" s="320"/>
      <c r="AL8" s="1"/>
    </row>
    <row r="9" spans="2:38" x14ac:dyDescent="0.25">
      <c r="B9" s="58"/>
      <c r="C9" s="327"/>
      <c r="D9" s="326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6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3"/>
      <c r="AF9" s="243"/>
      <c r="AG9" s="243"/>
      <c r="AH9" s="243"/>
      <c r="AI9" s="243"/>
      <c r="AJ9" s="243"/>
      <c r="AK9" s="244"/>
      <c r="AL9" s="1"/>
    </row>
    <row r="10" spans="2:38" x14ac:dyDescent="0.25">
      <c r="B10" s="1"/>
      <c r="C10" s="327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1"/>
      <c r="U10" s="315" t="s">
        <v>1077</v>
      </c>
      <c r="V10" s="316"/>
      <c r="W10" s="316"/>
      <c r="X10" s="317" t="s">
        <v>1139</v>
      </c>
      <c r="Y10" s="318"/>
      <c r="Z10" s="318"/>
      <c r="AA10" s="318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28" t="s">
        <v>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2"/>
      <c r="AK11" s="1"/>
      <c r="AL11" s="1"/>
    </row>
    <row r="12" spans="2:38" x14ac:dyDescent="0.25">
      <c r="B12" s="48"/>
      <c r="C12" s="327"/>
      <c r="D12" s="325"/>
      <c r="E12" s="325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22"/>
      <c r="U12" s="2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321"/>
      <c r="D14" s="322"/>
      <c r="E14" s="322"/>
      <c r="F14" s="322"/>
      <c r="G14" s="323"/>
      <c r="H14" s="1"/>
      <c r="I14" s="226" t="s">
        <v>2</v>
      </c>
      <c r="J14" s="1"/>
      <c r="K14" s="227" t="s">
        <v>1</v>
      </c>
      <c r="L14" s="1"/>
      <c r="M14" s="1"/>
      <c r="N14" s="1"/>
      <c r="O14" s="1"/>
      <c r="P14" s="1"/>
      <c r="Q14" s="1"/>
      <c r="R14" s="1"/>
      <c r="S14" s="240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31" t="s">
        <v>1050</v>
      </c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239"/>
      <c r="T17" s="238"/>
      <c r="U17" s="1"/>
      <c r="V17" s="331" t="s">
        <v>1051</v>
      </c>
      <c r="W17" s="332"/>
      <c r="X17" s="332"/>
      <c r="Y17" s="332"/>
      <c r="Z17" s="332"/>
      <c r="AA17" s="332"/>
      <c r="AB17" s="332"/>
      <c r="AC17" s="332"/>
      <c r="AD17" s="332"/>
      <c r="AE17" s="332"/>
      <c r="AF17" s="332"/>
      <c r="AG17" s="332"/>
      <c r="AH17" s="332"/>
      <c r="AI17" s="332"/>
      <c r="AJ17" s="332"/>
      <c r="AK17" s="332"/>
      <c r="AL17" s="239"/>
    </row>
    <row r="18" spans="2:38" ht="12.75" customHeight="1" thickTop="1" x14ac:dyDescent="0.25">
      <c r="B18" s="228" t="s">
        <v>1018</v>
      </c>
      <c r="C18" s="229" t="s">
        <v>983</v>
      </c>
      <c r="D18" s="230" t="s">
        <v>1067</v>
      </c>
      <c r="E18" s="230" t="s">
        <v>1058</v>
      </c>
      <c r="F18" s="230" t="s">
        <v>983</v>
      </c>
      <c r="G18" s="230" t="s">
        <v>1063</v>
      </c>
      <c r="H18" s="230" t="s">
        <v>1053</v>
      </c>
      <c r="I18" s="230" t="s">
        <v>1052</v>
      </c>
      <c r="J18" s="230" t="s">
        <v>1059</v>
      </c>
      <c r="K18" s="230" t="s">
        <v>1086</v>
      </c>
      <c r="L18" s="230" t="s">
        <v>1078</v>
      </c>
      <c r="M18" s="230" t="s">
        <v>1087</v>
      </c>
      <c r="N18" s="230" t="s">
        <v>1087</v>
      </c>
      <c r="O18" s="230" t="s">
        <v>1058</v>
      </c>
      <c r="P18" s="230" t="s">
        <v>1058</v>
      </c>
      <c r="Q18" s="230" t="s">
        <v>1087</v>
      </c>
      <c r="R18" s="231" t="s">
        <v>1053</v>
      </c>
      <c r="S18" s="1"/>
      <c r="U18" s="228" t="s">
        <v>1018</v>
      </c>
      <c r="V18" s="229" t="s">
        <v>983</v>
      </c>
      <c r="W18" s="230" t="s">
        <v>1067</v>
      </c>
      <c r="X18" s="230" t="s">
        <v>1058</v>
      </c>
      <c r="Y18" s="230" t="s">
        <v>983</v>
      </c>
      <c r="Z18" s="230" t="s">
        <v>1063</v>
      </c>
      <c r="AA18" s="230" t="s">
        <v>1053</v>
      </c>
      <c r="AB18" s="230" t="s">
        <v>1052</v>
      </c>
      <c r="AC18" s="230" t="s">
        <v>1059</v>
      </c>
      <c r="AD18" s="230" t="s">
        <v>1086</v>
      </c>
      <c r="AE18" s="230" t="s">
        <v>1078</v>
      </c>
      <c r="AF18" s="230" t="s">
        <v>1087</v>
      </c>
      <c r="AG18" s="230" t="s">
        <v>1087</v>
      </c>
      <c r="AH18" s="230" t="s">
        <v>1058</v>
      </c>
      <c r="AI18" s="230" t="s">
        <v>1058</v>
      </c>
      <c r="AJ18" s="230" t="s">
        <v>1087</v>
      </c>
      <c r="AK18" s="231" t="s">
        <v>1053</v>
      </c>
      <c r="AL18" s="1"/>
    </row>
    <row r="19" spans="2:38" ht="12.75" customHeight="1" x14ac:dyDescent="0.25">
      <c r="B19" s="228" t="s">
        <v>1019</v>
      </c>
      <c r="C19" s="232" t="s">
        <v>1059</v>
      </c>
      <c r="D19" s="233" t="s">
        <v>1060</v>
      </c>
      <c r="E19" s="233" t="s">
        <v>1060</v>
      </c>
      <c r="F19" s="233" t="s">
        <v>1062</v>
      </c>
      <c r="G19" s="233" t="s">
        <v>1088</v>
      </c>
      <c r="H19" s="233" t="s">
        <v>1089</v>
      </c>
      <c r="I19" s="233" t="s">
        <v>1062</v>
      </c>
      <c r="J19" s="233" t="s">
        <v>1062</v>
      </c>
      <c r="K19" s="233" t="s">
        <v>1062</v>
      </c>
      <c r="L19" s="233" t="s">
        <v>1062</v>
      </c>
      <c r="M19" s="233" t="s">
        <v>1090</v>
      </c>
      <c r="N19" s="233" t="s">
        <v>1089</v>
      </c>
      <c r="O19" s="233" t="s">
        <v>1062</v>
      </c>
      <c r="P19" s="233" t="s">
        <v>1091</v>
      </c>
      <c r="Q19" s="233" t="s">
        <v>1092</v>
      </c>
      <c r="R19" s="234" t="s">
        <v>1054</v>
      </c>
      <c r="S19" s="1"/>
      <c r="U19" s="228" t="s">
        <v>1019</v>
      </c>
      <c r="V19" s="232" t="s">
        <v>1059</v>
      </c>
      <c r="W19" s="233" t="s">
        <v>1060</v>
      </c>
      <c r="X19" s="233" t="s">
        <v>1060</v>
      </c>
      <c r="Y19" s="233" t="s">
        <v>1062</v>
      </c>
      <c r="Z19" s="233" t="s">
        <v>1088</v>
      </c>
      <c r="AA19" s="233" t="s">
        <v>1089</v>
      </c>
      <c r="AB19" s="233" t="s">
        <v>1062</v>
      </c>
      <c r="AC19" s="233" t="s">
        <v>1062</v>
      </c>
      <c r="AD19" s="233" t="s">
        <v>1062</v>
      </c>
      <c r="AE19" s="233" t="s">
        <v>1062</v>
      </c>
      <c r="AF19" s="233" t="s">
        <v>1090</v>
      </c>
      <c r="AG19" s="233" t="s">
        <v>1089</v>
      </c>
      <c r="AH19" s="233" t="s">
        <v>1062</v>
      </c>
      <c r="AI19" s="233" t="s">
        <v>1091</v>
      </c>
      <c r="AJ19" s="233" t="s">
        <v>1092</v>
      </c>
      <c r="AK19" s="234" t="s">
        <v>1054</v>
      </c>
      <c r="AL19" s="1"/>
    </row>
    <row r="20" spans="2:38" ht="12.75" customHeight="1" x14ac:dyDescent="0.25">
      <c r="B20" s="228" t="s">
        <v>1020</v>
      </c>
      <c r="C20" s="232" t="s">
        <v>1059</v>
      </c>
      <c r="D20" s="233" t="s">
        <v>1060</v>
      </c>
      <c r="E20" s="233" t="s">
        <v>1060</v>
      </c>
      <c r="F20" s="233" t="s">
        <v>1062</v>
      </c>
      <c r="G20" s="233" t="s">
        <v>1088</v>
      </c>
      <c r="H20" s="233" t="s">
        <v>1089</v>
      </c>
      <c r="I20" s="233" t="s">
        <v>1062</v>
      </c>
      <c r="J20" s="233" t="s">
        <v>1062</v>
      </c>
      <c r="K20" s="233" t="s">
        <v>1062</v>
      </c>
      <c r="L20" s="233" t="s">
        <v>1062</v>
      </c>
      <c r="M20" s="233" t="s">
        <v>1090</v>
      </c>
      <c r="N20" s="233" t="s">
        <v>1089</v>
      </c>
      <c r="O20" s="233" t="s">
        <v>1062</v>
      </c>
      <c r="P20" s="233" t="s">
        <v>1091</v>
      </c>
      <c r="Q20" s="233" t="s">
        <v>1081</v>
      </c>
      <c r="R20" s="234" t="s">
        <v>1054</v>
      </c>
      <c r="S20" s="1"/>
      <c r="U20" s="228" t="s">
        <v>1020</v>
      </c>
      <c r="V20" s="232" t="s">
        <v>1059</v>
      </c>
      <c r="W20" s="233" t="s">
        <v>1060</v>
      </c>
      <c r="X20" s="233" t="s">
        <v>1060</v>
      </c>
      <c r="Y20" s="233" t="s">
        <v>1062</v>
      </c>
      <c r="Z20" s="233" t="s">
        <v>1088</v>
      </c>
      <c r="AA20" s="233" t="s">
        <v>1089</v>
      </c>
      <c r="AB20" s="233" t="s">
        <v>1062</v>
      </c>
      <c r="AC20" s="233" t="s">
        <v>1062</v>
      </c>
      <c r="AD20" s="233" t="s">
        <v>1062</v>
      </c>
      <c r="AE20" s="233" t="s">
        <v>1062</v>
      </c>
      <c r="AF20" s="233" t="s">
        <v>1090</v>
      </c>
      <c r="AG20" s="233" t="s">
        <v>1089</v>
      </c>
      <c r="AH20" s="233" t="s">
        <v>1062</v>
      </c>
      <c r="AI20" s="233" t="s">
        <v>1091</v>
      </c>
      <c r="AJ20" s="233" t="s">
        <v>1081</v>
      </c>
      <c r="AK20" s="234" t="s">
        <v>1054</v>
      </c>
      <c r="AL20" s="1"/>
    </row>
    <row r="21" spans="2:38" ht="12.75" customHeight="1" x14ac:dyDescent="0.25">
      <c r="B21" s="228" t="s">
        <v>1021</v>
      </c>
      <c r="C21" s="232" t="s">
        <v>1064</v>
      </c>
      <c r="D21" s="233" t="s">
        <v>1060</v>
      </c>
      <c r="E21" s="233" t="s">
        <v>1093</v>
      </c>
      <c r="F21" s="233" t="s">
        <v>1094</v>
      </c>
      <c r="G21" s="233" t="s">
        <v>1095</v>
      </c>
      <c r="H21" s="233" t="s">
        <v>1096</v>
      </c>
      <c r="I21" s="233" t="s">
        <v>1097</v>
      </c>
      <c r="J21" s="233" t="s">
        <v>1082</v>
      </c>
      <c r="K21" s="233" t="s">
        <v>1098</v>
      </c>
      <c r="L21" s="233" t="s">
        <v>1070</v>
      </c>
      <c r="M21" s="233" t="s">
        <v>1099</v>
      </c>
      <c r="N21" s="233" t="s">
        <v>1062</v>
      </c>
      <c r="O21" s="233" t="s">
        <v>1060</v>
      </c>
      <c r="P21" s="233" t="s">
        <v>1062</v>
      </c>
      <c r="Q21" s="233" t="s">
        <v>1069</v>
      </c>
      <c r="R21" s="234" t="s">
        <v>1100</v>
      </c>
      <c r="S21" s="1"/>
      <c r="U21" s="228" t="s">
        <v>1021</v>
      </c>
      <c r="V21" s="232" t="s">
        <v>1064</v>
      </c>
      <c r="W21" s="233" t="s">
        <v>1060</v>
      </c>
      <c r="X21" s="233" t="s">
        <v>1093</v>
      </c>
      <c r="Y21" s="233" t="s">
        <v>1094</v>
      </c>
      <c r="Z21" s="233" t="s">
        <v>1095</v>
      </c>
      <c r="AA21" s="233" t="s">
        <v>1096</v>
      </c>
      <c r="AB21" s="233" t="s">
        <v>1097</v>
      </c>
      <c r="AC21" s="233" t="s">
        <v>1082</v>
      </c>
      <c r="AD21" s="233" t="s">
        <v>1098</v>
      </c>
      <c r="AE21" s="233" t="s">
        <v>1070</v>
      </c>
      <c r="AF21" s="233" t="s">
        <v>1099</v>
      </c>
      <c r="AG21" s="233" t="s">
        <v>1062</v>
      </c>
      <c r="AH21" s="233" t="s">
        <v>1060</v>
      </c>
      <c r="AI21" s="233" t="s">
        <v>1062</v>
      </c>
      <c r="AJ21" s="233" t="s">
        <v>1069</v>
      </c>
      <c r="AK21" s="234" t="s">
        <v>1100</v>
      </c>
      <c r="AL21" s="1"/>
    </row>
    <row r="22" spans="2:38" ht="12.75" customHeight="1" x14ac:dyDescent="0.25">
      <c r="B22" s="228" t="s">
        <v>1022</v>
      </c>
      <c r="C22" s="232" t="s">
        <v>1064</v>
      </c>
      <c r="D22" s="233" t="s">
        <v>1060</v>
      </c>
      <c r="E22" s="233" t="s">
        <v>1093</v>
      </c>
      <c r="F22" s="233" t="s">
        <v>1094</v>
      </c>
      <c r="G22" s="233" t="s">
        <v>1095</v>
      </c>
      <c r="H22" s="233" t="s">
        <v>1096</v>
      </c>
      <c r="I22" s="233" t="s">
        <v>1097</v>
      </c>
      <c r="J22" s="233" t="s">
        <v>1082</v>
      </c>
      <c r="K22" s="233" t="s">
        <v>1098</v>
      </c>
      <c r="L22" s="233" t="s">
        <v>1070</v>
      </c>
      <c r="M22" s="233" t="s">
        <v>1099</v>
      </c>
      <c r="N22" s="233" t="s">
        <v>1062</v>
      </c>
      <c r="O22" s="233" t="s">
        <v>1060</v>
      </c>
      <c r="P22" s="233" t="s">
        <v>1062</v>
      </c>
      <c r="Q22" s="233" t="s">
        <v>1101</v>
      </c>
      <c r="R22" s="234" t="s">
        <v>1100</v>
      </c>
      <c r="S22" s="1"/>
      <c r="U22" s="228" t="s">
        <v>1022</v>
      </c>
      <c r="V22" s="232" t="s">
        <v>1064</v>
      </c>
      <c r="W22" s="233" t="s">
        <v>1060</v>
      </c>
      <c r="X22" s="233" t="s">
        <v>1093</v>
      </c>
      <c r="Y22" s="233" t="s">
        <v>1094</v>
      </c>
      <c r="Z22" s="233" t="s">
        <v>1095</v>
      </c>
      <c r="AA22" s="233" t="s">
        <v>1096</v>
      </c>
      <c r="AB22" s="233" t="s">
        <v>1097</v>
      </c>
      <c r="AC22" s="233" t="s">
        <v>1082</v>
      </c>
      <c r="AD22" s="233" t="s">
        <v>1098</v>
      </c>
      <c r="AE22" s="233" t="s">
        <v>1070</v>
      </c>
      <c r="AF22" s="233" t="s">
        <v>1099</v>
      </c>
      <c r="AG22" s="233" t="s">
        <v>1062</v>
      </c>
      <c r="AH22" s="233" t="s">
        <v>1060</v>
      </c>
      <c r="AI22" s="233" t="s">
        <v>1062</v>
      </c>
      <c r="AJ22" s="233" t="s">
        <v>1101</v>
      </c>
      <c r="AK22" s="234" t="s">
        <v>1100</v>
      </c>
      <c r="AL22" s="1"/>
    </row>
    <row r="23" spans="2:38" ht="12.75" customHeight="1" x14ac:dyDescent="0.25">
      <c r="B23" s="228" t="s">
        <v>1023</v>
      </c>
      <c r="C23" s="232" t="s">
        <v>1065</v>
      </c>
      <c r="D23" s="233" t="s">
        <v>1061</v>
      </c>
      <c r="E23" s="233" t="s">
        <v>1083</v>
      </c>
      <c r="F23" s="233" t="s">
        <v>1061</v>
      </c>
      <c r="G23" s="233" t="s">
        <v>1089</v>
      </c>
      <c r="H23" s="233" t="s">
        <v>1060</v>
      </c>
      <c r="I23" s="233" t="s">
        <v>1064</v>
      </c>
      <c r="J23" s="233" t="s">
        <v>1062</v>
      </c>
      <c r="K23" s="233" t="s">
        <v>1099</v>
      </c>
      <c r="L23" s="233" t="s">
        <v>1064</v>
      </c>
      <c r="M23" s="233" t="s">
        <v>1102</v>
      </c>
      <c r="N23" s="233" t="s">
        <v>1084</v>
      </c>
      <c r="O23" s="233" t="s">
        <v>1065</v>
      </c>
      <c r="P23" s="233" t="s">
        <v>1062</v>
      </c>
      <c r="Q23" s="233" t="s">
        <v>1103</v>
      </c>
      <c r="R23" s="234" t="s">
        <v>1054</v>
      </c>
      <c r="S23" s="1"/>
      <c r="U23" s="228" t="s">
        <v>1023</v>
      </c>
      <c r="V23" s="232" t="s">
        <v>1065</v>
      </c>
      <c r="W23" s="233" t="s">
        <v>1061</v>
      </c>
      <c r="X23" s="233" t="s">
        <v>1083</v>
      </c>
      <c r="Y23" s="233" t="s">
        <v>1061</v>
      </c>
      <c r="Z23" s="233" t="s">
        <v>1089</v>
      </c>
      <c r="AA23" s="233" t="s">
        <v>1060</v>
      </c>
      <c r="AB23" s="233" t="s">
        <v>1064</v>
      </c>
      <c r="AC23" s="233" t="s">
        <v>1062</v>
      </c>
      <c r="AD23" s="233" t="s">
        <v>1099</v>
      </c>
      <c r="AE23" s="233" t="s">
        <v>1064</v>
      </c>
      <c r="AF23" s="233" t="s">
        <v>1102</v>
      </c>
      <c r="AG23" s="233" t="s">
        <v>1084</v>
      </c>
      <c r="AH23" s="233" t="s">
        <v>1065</v>
      </c>
      <c r="AI23" s="233" t="s">
        <v>1062</v>
      </c>
      <c r="AJ23" s="233" t="s">
        <v>1103</v>
      </c>
      <c r="AK23" s="234" t="s">
        <v>1054</v>
      </c>
      <c r="AL23" s="1"/>
    </row>
    <row r="24" spans="2:38" ht="12.75" customHeight="1" x14ac:dyDescent="0.25">
      <c r="B24" s="228" t="s">
        <v>1024</v>
      </c>
      <c r="C24" s="232" t="s">
        <v>1062</v>
      </c>
      <c r="D24" s="233" t="s">
        <v>1062</v>
      </c>
      <c r="E24" s="233" t="s">
        <v>1104</v>
      </c>
      <c r="F24" s="233" t="s">
        <v>1057</v>
      </c>
      <c r="G24" s="233" t="s">
        <v>1105</v>
      </c>
      <c r="H24" s="233" t="s">
        <v>1056</v>
      </c>
      <c r="I24" s="233" t="s">
        <v>1062</v>
      </c>
      <c r="J24" s="233" t="s">
        <v>1062</v>
      </c>
      <c r="K24" s="233" t="s">
        <v>1062</v>
      </c>
      <c r="L24" s="233" t="s">
        <v>1062</v>
      </c>
      <c r="M24" s="233" t="s">
        <v>1062</v>
      </c>
      <c r="N24" s="233" t="s">
        <v>1062</v>
      </c>
      <c r="O24" s="233" t="s">
        <v>1062</v>
      </c>
      <c r="P24" s="233" t="s">
        <v>1062</v>
      </c>
      <c r="Q24" s="233" t="s">
        <v>1092</v>
      </c>
      <c r="R24" s="234" t="s">
        <v>1052</v>
      </c>
      <c r="S24" s="1"/>
      <c r="U24" s="228" t="s">
        <v>1024</v>
      </c>
      <c r="V24" s="232" t="s">
        <v>1062</v>
      </c>
      <c r="W24" s="233" t="s">
        <v>1062</v>
      </c>
      <c r="X24" s="233" t="s">
        <v>1104</v>
      </c>
      <c r="Y24" s="233" t="s">
        <v>1057</v>
      </c>
      <c r="Z24" s="233" t="s">
        <v>1105</v>
      </c>
      <c r="AA24" s="233" t="s">
        <v>1056</v>
      </c>
      <c r="AB24" s="233" t="s">
        <v>1062</v>
      </c>
      <c r="AC24" s="233" t="s">
        <v>1062</v>
      </c>
      <c r="AD24" s="233" t="s">
        <v>1062</v>
      </c>
      <c r="AE24" s="233" t="s">
        <v>1062</v>
      </c>
      <c r="AF24" s="233" t="s">
        <v>1062</v>
      </c>
      <c r="AG24" s="233" t="s">
        <v>1062</v>
      </c>
      <c r="AH24" s="233" t="s">
        <v>1062</v>
      </c>
      <c r="AI24" s="233" t="s">
        <v>1062</v>
      </c>
      <c r="AJ24" s="233" t="s">
        <v>1092</v>
      </c>
      <c r="AK24" s="234" t="s">
        <v>1052</v>
      </c>
      <c r="AL24" s="1"/>
    </row>
    <row r="25" spans="2:38" ht="12.75" customHeight="1" x14ac:dyDescent="0.25">
      <c r="B25" s="228" t="s">
        <v>1025</v>
      </c>
      <c r="C25" s="232" t="s">
        <v>1059</v>
      </c>
      <c r="D25" s="233" t="s">
        <v>1064</v>
      </c>
      <c r="E25" s="233" t="s">
        <v>1060</v>
      </c>
      <c r="F25" s="233" t="s">
        <v>1064</v>
      </c>
      <c r="G25" s="233" t="s">
        <v>1059</v>
      </c>
      <c r="H25" s="233" t="s">
        <v>1062</v>
      </c>
      <c r="I25" s="233" t="s">
        <v>1062</v>
      </c>
      <c r="J25" s="233" t="s">
        <v>1059</v>
      </c>
      <c r="K25" s="233" t="s">
        <v>1062</v>
      </c>
      <c r="L25" s="233" t="s">
        <v>1062</v>
      </c>
      <c r="M25" s="233" t="s">
        <v>1103</v>
      </c>
      <c r="N25" s="233" t="s">
        <v>1106</v>
      </c>
      <c r="O25" s="233" t="s">
        <v>1062</v>
      </c>
      <c r="P25" s="233" t="s">
        <v>1062</v>
      </c>
      <c r="Q25" s="233" t="s">
        <v>1107</v>
      </c>
      <c r="R25" s="234" t="s">
        <v>1074</v>
      </c>
      <c r="S25" s="1"/>
      <c r="U25" s="228" t="s">
        <v>1025</v>
      </c>
      <c r="V25" s="232" t="s">
        <v>1059</v>
      </c>
      <c r="W25" s="233" t="s">
        <v>1064</v>
      </c>
      <c r="X25" s="233" t="s">
        <v>1060</v>
      </c>
      <c r="Y25" s="233" t="s">
        <v>1064</v>
      </c>
      <c r="Z25" s="233" t="s">
        <v>1059</v>
      </c>
      <c r="AA25" s="233" t="s">
        <v>1062</v>
      </c>
      <c r="AB25" s="233" t="s">
        <v>1062</v>
      </c>
      <c r="AC25" s="233" t="s">
        <v>1059</v>
      </c>
      <c r="AD25" s="233" t="s">
        <v>1062</v>
      </c>
      <c r="AE25" s="233" t="s">
        <v>1062</v>
      </c>
      <c r="AF25" s="233" t="s">
        <v>1103</v>
      </c>
      <c r="AG25" s="233" t="s">
        <v>1106</v>
      </c>
      <c r="AH25" s="233" t="s">
        <v>1062</v>
      </c>
      <c r="AI25" s="233" t="s">
        <v>1062</v>
      </c>
      <c r="AJ25" s="233" t="s">
        <v>1107</v>
      </c>
      <c r="AK25" s="234" t="s">
        <v>1074</v>
      </c>
      <c r="AL25" s="1"/>
    </row>
    <row r="26" spans="2:38" ht="12.75" customHeight="1" x14ac:dyDescent="0.25">
      <c r="B26" s="228" t="s">
        <v>1026</v>
      </c>
      <c r="C26" s="232" t="s">
        <v>1059</v>
      </c>
      <c r="D26" s="233" t="s">
        <v>1064</v>
      </c>
      <c r="E26" s="233" t="s">
        <v>1060</v>
      </c>
      <c r="F26" s="233" t="s">
        <v>1064</v>
      </c>
      <c r="G26" s="233" t="s">
        <v>1059</v>
      </c>
      <c r="H26" s="233" t="s">
        <v>1062</v>
      </c>
      <c r="I26" s="233" t="s">
        <v>1062</v>
      </c>
      <c r="J26" s="233" t="s">
        <v>1059</v>
      </c>
      <c r="K26" s="233" t="s">
        <v>1062</v>
      </c>
      <c r="L26" s="233" t="s">
        <v>1062</v>
      </c>
      <c r="M26" s="233" t="s">
        <v>1103</v>
      </c>
      <c r="N26" s="233" t="s">
        <v>1106</v>
      </c>
      <c r="O26" s="233" t="s">
        <v>1062</v>
      </c>
      <c r="P26" s="233" t="s">
        <v>1062</v>
      </c>
      <c r="Q26" s="233" t="s">
        <v>1107</v>
      </c>
      <c r="R26" s="234" t="s">
        <v>1074</v>
      </c>
      <c r="S26" s="1"/>
      <c r="U26" s="228" t="s">
        <v>1026</v>
      </c>
      <c r="V26" s="232" t="s">
        <v>1059</v>
      </c>
      <c r="W26" s="233" t="s">
        <v>1064</v>
      </c>
      <c r="X26" s="233" t="s">
        <v>1060</v>
      </c>
      <c r="Y26" s="233" t="s">
        <v>1064</v>
      </c>
      <c r="Z26" s="233" t="s">
        <v>1059</v>
      </c>
      <c r="AA26" s="233" t="s">
        <v>1062</v>
      </c>
      <c r="AB26" s="233" t="s">
        <v>1062</v>
      </c>
      <c r="AC26" s="233" t="s">
        <v>1059</v>
      </c>
      <c r="AD26" s="233" t="s">
        <v>1062</v>
      </c>
      <c r="AE26" s="233" t="s">
        <v>1062</v>
      </c>
      <c r="AF26" s="233" t="s">
        <v>1103</v>
      </c>
      <c r="AG26" s="233" t="s">
        <v>1106</v>
      </c>
      <c r="AH26" s="233" t="s">
        <v>1062</v>
      </c>
      <c r="AI26" s="233" t="s">
        <v>1062</v>
      </c>
      <c r="AJ26" s="233" t="s">
        <v>1107</v>
      </c>
      <c r="AK26" s="234" t="s">
        <v>1074</v>
      </c>
      <c r="AL26" s="1"/>
    </row>
    <row r="27" spans="2:38" ht="12.75" customHeight="1" x14ac:dyDescent="0.25">
      <c r="B27" s="228" t="s">
        <v>1027</v>
      </c>
      <c r="C27" s="232" t="s">
        <v>1062</v>
      </c>
      <c r="D27" s="233" t="s">
        <v>1068</v>
      </c>
      <c r="E27" s="233" t="s">
        <v>1068</v>
      </c>
      <c r="F27" s="233" t="s">
        <v>1068</v>
      </c>
      <c r="G27" s="233" t="s">
        <v>1068</v>
      </c>
      <c r="H27" s="233" t="s">
        <v>1062</v>
      </c>
      <c r="I27" s="233" t="s">
        <v>1062</v>
      </c>
      <c r="J27" s="233" t="s">
        <v>1068</v>
      </c>
      <c r="K27" s="233" t="s">
        <v>1062</v>
      </c>
      <c r="L27" s="233" t="s">
        <v>1068</v>
      </c>
      <c r="M27" s="233" t="s">
        <v>1068</v>
      </c>
      <c r="N27" s="233" t="s">
        <v>1052</v>
      </c>
      <c r="O27" s="233" t="s">
        <v>1062</v>
      </c>
      <c r="P27" s="233" t="s">
        <v>1062</v>
      </c>
      <c r="Q27" s="233" t="s">
        <v>1069</v>
      </c>
      <c r="R27" s="234" t="s">
        <v>1055</v>
      </c>
      <c r="S27" s="1"/>
      <c r="U27" s="228" t="s">
        <v>1027</v>
      </c>
      <c r="V27" s="232" t="s">
        <v>1062</v>
      </c>
      <c r="W27" s="233" t="s">
        <v>1068</v>
      </c>
      <c r="X27" s="233" t="s">
        <v>1068</v>
      </c>
      <c r="Y27" s="233" t="s">
        <v>1068</v>
      </c>
      <c r="Z27" s="233" t="s">
        <v>1068</v>
      </c>
      <c r="AA27" s="233" t="s">
        <v>1062</v>
      </c>
      <c r="AB27" s="233" t="s">
        <v>1062</v>
      </c>
      <c r="AC27" s="233" t="s">
        <v>1068</v>
      </c>
      <c r="AD27" s="233" t="s">
        <v>1062</v>
      </c>
      <c r="AE27" s="233" t="s">
        <v>1068</v>
      </c>
      <c r="AF27" s="233" t="s">
        <v>1068</v>
      </c>
      <c r="AG27" s="233" t="s">
        <v>1052</v>
      </c>
      <c r="AH27" s="233" t="s">
        <v>1062</v>
      </c>
      <c r="AI27" s="233" t="s">
        <v>1062</v>
      </c>
      <c r="AJ27" s="233" t="s">
        <v>1069</v>
      </c>
      <c r="AK27" s="234" t="s">
        <v>1055</v>
      </c>
      <c r="AL27" s="1"/>
    </row>
    <row r="28" spans="2:38" ht="12.75" customHeight="1" x14ac:dyDescent="0.25">
      <c r="B28" s="228" t="s">
        <v>1028</v>
      </c>
      <c r="C28" s="232" t="s">
        <v>1062</v>
      </c>
      <c r="D28" s="233" t="s">
        <v>1068</v>
      </c>
      <c r="E28" s="233" t="s">
        <v>1068</v>
      </c>
      <c r="F28" s="233" t="s">
        <v>1068</v>
      </c>
      <c r="G28" s="233" t="s">
        <v>1068</v>
      </c>
      <c r="H28" s="233" t="s">
        <v>1062</v>
      </c>
      <c r="I28" s="233" t="s">
        <v>1062</v>
      </c>
      <c r="J28" s="233" t="s">
        <v>1068</v>
      </c>
      <c r="K28" s="233" t="s">
        <v>1062</v>
      </c>
      <c r="L28" s="233" t="s">
        <v>1068</v>
      </c>
      <c r="M28" s="233" t="s">
        <v>1068</v>
      </c>
      <c r="N28" s="233" t="s">
        <v>1052</v>
      </c>
      <c r="O28" s="233" t="s">
        <v>1062</v>
      </c>
      <c r="P28" s="233" t="s">
        <v>1062</v>
      </c>
      <c r="Q28" s="233" t="s">
        <v>1069</v>
      </c>
      <c r="R28" s="234" t="s">
        <v>1055</v>
      </c>
      <c r="S28" s="1"/>
      <c r="U28" s="228" t="s">
        <v>1028</v>
      </c>
      <c r="V28" s="232" t="s">
        <v>1062</v>
      </c>
      <c r="W28" s="233" t="s">
        <v>1068</v>
      </c>
      <c r="X28" s="233" t="s">
        <v>1068</v>
      </c>
      <c r="Y28" s="233" t="s">
        <v>1068</v>
      </c>
      <c r="Z28" s="233" t="s">
        <v>1068</v>
      </c>
      <c r="AA28" s="233" t="s">
        <v>1062</v>
      </c>
      <c r="AB28" s="233" t="s">
        <v>1062</v>
      </c>
      <c r="AC28" s="233" t="s">
        <v>1068</v>
      </c>
      <c r="AD28" s="233" t="s">
        <v>1062</v>
      </c>
      <c r="AE28" s="233" t="s">
        <v>1068</v>
      </c>
      <c r="AF28" s="233" t="s">
        <v>1068</v>
      </c>
      <c r="AG28" s="233" t="s">
        <v>1052</v>
      </c>
      <c r="AH28" s="233" t="s">
        <v>1062</v>
      </c>
      <c r="AI28" s="233" t="s">
        <v>1062</v>
      </c>
      <c r="AJ28" s="233" t="s">
        <v>1069</v>
      </c>
      <c r="AK28" s="234" t="s">
        <v>1055</v>
      </c>
      <c r="AL28" s="1"/>
    </row>
    <row r="29" spans="2:38" ht="12.75" customHeight="1" x14ac:dyDescent="0.25">
      <c r="B29" s="228" t="s">
        <v>1029</v>
      </c>
      <c r="C29" s="232" t="s">
        <v>1059</v>
      </c>
      <c r="D29" s="233" t="s">
        <v>1065</v>
      </c>
      <c r="E29" s="233" t="s">
        <v>1062</v>
      </c>
      <c r="F29" s="233" t="s">
        <v>1062</v>
      </c>
      <c r="G29" s="233" t="s">
        <v>983</v>
      </c>
      <c r="H29" s="233" t="s">
        <v>1108</v>
      </c>
      <c r="I29" s="233" t="s">
        <v>1109</v>
      </c>
      <c r="J29" s="233" t="s">
        <v>1108</v>
      </c>
      <c r="K29" s="233" t="s">
        <v>1053</v>
      </c>
      <c r="L29" s="233" t="s">
        <v>1053</v>
      </c>
      <c r="M29" s="233" t="s">
        <v>1060</v>
      </c>
      <c r="N29" s="233" t="s">
        <v>1062</v>
      </c>
      <c r="O29" s="233" t="s">
        <v>1062</v>
      </c>
      <c r="P29" s="233" t="s">
        <v>1062</v>
      </c>
      <c r="Q29" s="233" t="s">
        <v>1110</v>
      </c>
      <c r="R29" s="234" t="s">
        <v>1074</v>
      </c>
      <c r="S29" s="1"/>
      <c r="U29" s="228" t="s">
        <v>1029</v>
      </c>
      <c r="V29" s="232" t="s">
        <v>1059</v>
      </c>
      <c r="W29" s="233" t="s">
        <v>1065</v>
      </c>
      <c r="X29" s="233" t="s">
        <v>1062</v>
      </c>
      <c r="Y29" s="233" t="s">
        <v>1062</v>
      </c>
      <c r="Z29" s="233" t="s">
        <v>983</v>
      </c>
      <c r="AA29" s="233" t="s">
        <v>1108</v>
      </c>
      <c r="AB29" s="233" t="s">
        <v>1109</v>
      </c>
      <c r="AC29" s="233" t="s">
        <v>1108</v>
      </c>
      <c r="AD29" s="233" t="s">
        <v>1053</v>
      </c>
      <c r="AE29" s="233" t="s">
        <v>1053</v>
      </c>
      <c r="AF29" s="233" t="s">
        <v>1060</v>
      </c>
      <c r="AG29" s="233" t="s">
        <v>1062</v>
      </c>
      <c r="AH29" s="233" t="s">
        <v>1062</v>
      </c>
      <c r="AI29" s="233" t="s">
        <v>1062</v>
      </c>
      <c r="AJ29" s="233" t="s">
        <v>1110</v>
      </c>
      <c r="AK29" s="234" t="s">
        <v>1074</v>
      </c>
      <c r="AL29" s="1"/>
    </row>
    <row r="30" spans="2:38" ht="12.75" customHeight="1" x14ac:dyDescent="0.25">
      <c r="B30" s="228" t="s">
        <v>1030</v>
      </c>
      <c r="C30" s="232" t="s">
        <v>1059</v>
      </c>
      <c r="D30" s="233" t="s">
        <v>1065</v>
      </c>
      <c r="E30" s="233" t="s">
        <v>1062</v>
      </c>
      <c r="F30" s="233" t="s">
        <v>1062</v>
      </c>
      <c r="G30" s="233" t="s">
        <v>983</v>
      </c>
      <c r="H30" s="233" t="s">
        <v>1108</v>
      </c>
      <c r="I30" s="233" t="s">
        <v>1109</v>
      </c>
      <c r="J30" s="233" t="s">
        <v>1108</v>
      </c>
      <c r="K30" s="233" t="s">
        <v>1053</v>
      </c>
      <c r="L30" s="233" t="s">
        <v>1053</v>
      </c>
      <c r="M30" s="233" t="s">
        <v>1060</v>
      </c>
      <c r="N30" s="233" t="s">
        <v>1062</v>
      </c>
      <c r="O30" s="233" t="s">
        <v>1062</v>
      </c>
      <c r="P30" s="233" t="s">
        <v>1062</v>
      </c>
      <c r="Q30" s="233" t="s">
        <v>1110</v>
      </c>
      <c r="R30" s="234" t="s">
        <v>1074</v>
      </c>
      <c r="S30" s="1"/>
      <c r="U30" s="228" t="s">
        <v>1030</v>
      </c>
      <c r="V30" s="232" t="s">
        <v>1059</v>
      </c>
      <c r="W30" s="233" t="s">
        <v>1065</v>
      </c>
      <c r="X30" s="233" t="s">
        <v>1062</v>
      </c>
      <c r="Y30" s="233" t="s">
        <v>1062</v>
      </c>
      <c r="Z30" s="233" t="s">
        <v>983</v>
      </c>
      <c r="AA30" s="233" t="s">
        <v>1108</v>
      </c>
      <c r="AB30" s="233" t="s">
        <v>1109</v>
      </c>
      <c r="AC30" s="233" t="s">
        <v>1108</v>
      </c>
      <c r="AD30" s="233" t="s">
        <v>1053</v>
      </c>
      <c r="AE30" s="233" t="s">
        <v>1053</v>
      </c>
      <c r="AF30" s="233" t="s">
        <v>1060</v>
      </c>
      <c r="AG30" s="233" t="s">
        <v>1062</v>
      </c>
      <c r="AH30" s="233" t="s">
        <v>1062</v>
      </c>
      <c r="AI30" s="233" t="s">
        <v>1062</v>
      </c>
      <c r="AJ30" s="233" t="s">
        <v>1110</v>
      </c>
      <c r="AK30" s="234" t="s">
        <v>1074</v>
      </c>
      <c r="AL30" s="1"/>
    </row>
    <row r="31" spans="2:38" ht="12.75" customHeight="1" x14ac:dyDescent="0.25">
      <c r="B31" s="228" t="s">
        <v>1031</v>
      </c>
      <c r="C31" s="232" t="s">
        <v>1053</v>
      </c>
      <c r="D31" s="233" t="s">
        <v>1078</v>
      </c>
      <c r="E31" s="233" t="s">
        <v>1096</v>
      </c>
      <c r="F31" s="233" t="s">
        <v>1053</v>
      </c>
      <c r="G31" s="233" t="s">
        <v>1111</v>
      </c>
      <c r="H31" s="233" t="s">
        <v>1112</v>
      </c>
      <c r="I31" s="233" t="s">
        <v>1111</v>
      </c>
      <c r="J31" s="233" t="s">
        <v>1071</v>
      </c>
      <c r="K31" s="233" t="s">
        <v>1071</v>
      </c>
      <c r="L31" s="233" t="s">
        <v>1067</v>
      </c>
      <c r="M31" s="233" t="s">
        <v>1067</v>
      </c>
      <c r="N31" s="233" t="s">
        <v>1111</v>
      </c>
      <c r="O31" s="233" t="s">
        <v>1109</v>
      </c>
      <c r="P31" s="233" t="s">
        <v>1060</v>
      </c>
      <c r="Q31" s="233" t="s">
        <v>1113</v>
      </c>
      <c r="R31" s="234" t="s">
        <v>1100</v>
      </c>
      <c r="S31" s="1"/>
      <c r="U31" s="228" t="s">
        <v>1031</v>
      </c>
      <c r="V31" s="232" t="s">
        <v>1053</v>
      </c>
      <c r="W31" s="233" t="s">
        <v>1078</v>
      </c>
      <c r="X31" s="233" t="s">
        <v>1096</v>
      </c>
      <c r="Y31" s="233" t="s">
        <v>1053</v>
      </c>
      <c r="Z31" s="233" t="s">
        <v>1111</v>
      </c>
      <c r="AA31" s="233" t="s">
        <v>1112</v>
      </c>
      <c r="AB31" s="233" t="s">
        <v>1111</v>
      </c>
      <c r="AC31" s="233" t="s">
        <v>1071</v>
      </c>
      <c r="AD31" s="233" t="s">
        <v>1071</v>
      </c>
      <c r="AE31" s="233" t="s">
        <v>1067</v>
      </c>
      <c r="AF31" s="233" t="s">
        <v>1067</v>
      </c>
      <c r="AG31" s="233" t="s">
        <v>1111</v>
      </c>
      <c r="AH31" s="233" t="s">
        <v>1109</v>
      </c>
      <c r="AI31" s="233" t="s">
        <v>1060</v>
      </c>
      <c r="AJ31" s="233" t="s">
        <v>1113</v>
      </c>
      <c r="AK31" s="234" t="s">
        <v>1100</v>
      </c>
      <c r="AL31" s="1"/>
    </row>
    <row r="32" spans="2:38" ht="12.75" customHeight="1" x14ac:dyDescent="0.25">
      <c r="B32" s="228" t="s">
        <v>1032</v>
      </c>
      <c r="C32" s="232" t="s">
        <v>1053</v>
      </c>
      <c r="D32" s="233" t="s">
        <v>1078</v>
      </c>
      <c r="E32" s="233" t="s">
        <v>1096</v>
      </c>
      <c r="F32" s="233" t="s">
        <v>1053</v>
      </c>
      <c r="G32" s="233" t="s">
        <v>1111</v>
      </c>
      <c r="H32" s="233" t="s">
        <v>1112</v>
      </c>
      <c r="I32" s="233" t="s">
        <v>1111</v>
      </c>
      <c r="J32" s="233" t="s">
        <v>1071</v>
      </c>
      <c r="K32" s="233" t="s">
        <v>1071</v>
      </c>
      <c r="L32" s="233" t="s">
        <v>1067</v>
      </c>
      <c r="M32" s="233" t="s">
        <v>1067</v>
      </c>
      <c r="N32" s="233" t="s">
        <v>1111</v>
      </c>
      <c r="O32" s="233" t="s">
        <v>1109</v>
      </c>
      <c r="P32" s="233" t="s">
        <v>1060</v>
      </c>
      <c r="Q32" s="233" t="s">
        <v>1113</v>
      </c>
      <c r="R32" s="234" t="s">
        <v>1100</v>
      </c>
      <c r="S32" s="1"/>
      <c r="U32" s="228" t="s">
        <v>1032</v>
      </c>
      <c r="V32" s="232" t="s">
        <v>1053</v>
      </c>
      <c r="W32" s="233" t="s">
        <v>1078</v>
      </c>
      <c r="X32" s="233" t="s">
        <v>1096</v>
      </c>
      <c r="Y32" s="233" t="s">
        <v>1053</v>
      </c>
      <c r="Z32" s="233" t="s">
        <v>1111</v>
      </c>
      <c r="AA32" s="233" t="s">
        <v>1112</v>
      </c>
      <c r="AB32" s="233" t="s">
        <v>1111</v>
      </c>
      <c r="AC32" s="233" t="s">
        <v>1071</v>
      </c>
      <c r="AD32" s="233" t="s">
        <v>1071</v>
      </c>
      <c r="AE32" s="233" t="s">
        <v>1067</v>
      </c>
      <c r="AF32" s="233" t="s">
        <v>1067</v>
      </c>
      <c r="AG32" s="233" t="s">
        <v>1111</v>
      </c>
      <c r="AH32" s="233" t="s">
        <v>1109</v>
      </c>
      <c r="AI32" s="233" t="s">
        <v>1060</v>
      </c>
      <c r="AJ32" s="233" t="s">
        <v>1113</v>
      </c>
      <c r="AK32" s="234" t="s">
        <v>1100</v>
      </c>
      <c r="AL32" s="1"/>
    </row>
    <row r="33" spans="2:38" ht="12.75" customHeight="1" x14ac:dyDescent="0.25">
      <c r="B33" s="228" t="s">
        <v>1033</v>
      </c>
      <c r="C33" s="232" t="s">
        <v>1108</v>
      </c>
      <c r="D33" s="233" t="s">
        <v>1053</v>
      </c>
      <c r="E33" s="233" t="s">
        <v>1071</v>
      </c>
      <c r="F33" s="233" t="s">
        <v>1053</v>
      </c>
      <c r="G33" s="233" t="s">
        <v>1058</v>
      </c>
      <c r="H33" s="233" t="s">
        <v>1088</v>
      </c>
      <c r="I33" s="233" t="s">
        <v>1114</v>
      </c>
      <c r="J33" s="233" t="s">
        <v>1114</v>
      </c>
      <c r="K33" s="233" t="s">
        <v>1058</v>
      </c>
      <c r="L33" s="233" t="s">
        <v>1087</v>
      </c>
      <c r="M33" s="233" t="s">
        <v>1115</v>
      </c>
      <c r="N33" s="233" t="s">
        <v>1066</v>
      </c>
      <c r="O33" s="233" t="s">
        <v>1067</v>
      </c>
      <c r="P33" s="233" t="s">
        <v>1060</v>
      </c>
      <c r="Q33" s="233" t="s">
        <v>1116</v>
      </c>
      <c r="R33" s="234" t="s">
        <v>1100</v>
      </c>
      <c r="S33" s="1"/>
      <c r="U33" s="228" t="s">
        <v>1033</v>
      </c>
      <c r="V33" s="232" t="s">
        <v>1108</v>
      </c>
      <c r="W33" s="233" t="s">
        <v>1053</v>
      </c>
      <c r="X33" s="233" t="s">
        <v>1071</v>
      </c>
      <c r="Y33" s="233" t="s">
        <v>1053</v>
      </c>
      <c r="Z33" s="233" t="s">
        <v>1058</v>
      </c>
      <c r="AA33" s="233" t="s">
        <v>1088</v>
      </c>
      <c r="AB33" s="233" t="s">
        <v>1114</v>
      </c>
      <c r="AC33" s="233" t="s">
        <v>1114</v>
      </c>
      <c r="AD33" s="233" t="s">
        <v>1058</v>
      </c>
      <c r="AE33" s="233" t="s">
        <v>1087</v>
      </c>
      <c r="AF33" s="233" t="s">
        <v>1115</v>
      </c>
      <c r="AG33" s="233" t="s">
        <v>1066</v>
      </c>
      <c r="AH33" s="233" t="s">
        <v>1067</v>
      </c>
      <c r="AI33" s="233" t="s">
        <v>1060</v>
      </c>
      <c r="AJ33" s="233" t="s">
        <v>1116</v>
      </c>
      <c r="AK33" s="234" t="s">
        <v>1100</v>
      </c>
      <c r="AL33" s="1"/>
    </row>
    <row r="34" spans="2:38" ht="12.75" customHeight="1" x14ac:dyDescent="0.25">
      <c r="B34" s="228" t="s">
        <v>1034</v>
      </c>
      <c r="C34" s="232" t="s">
        <v>1108</v>
      </c>
      <c r="D34" s="233" t="s">
        <v>1053</v>
      </c>
      <c r="E34" s="233" t="s">
        <v>1071</v>
      </c>
      <c r="F34" s="233" t="s">
        <v>1053</v>
      </c>
      <c r="G34" s="233" t="s">
        <v>1058</v>
      </c>
      <c r="H34" s="233" t="s">
        <v>1088</v>
      </c>
      <c r="I34" s="233" t="s">
        <v>1114</v>
      </c>
      <c r="J34" s="233" t="s">
        <v>1114</v>
      </c>
      <c r="K34" s="233" t="s">
        <v>1058</v>
      </c>
      <c r="L34" s="233" t="s">
        <v>1087</v>
      </c>
      <c r="M34" s="233" t="s">
        <v>1115</v>
      </c>
      <c r="N34" s="233" t="s">
        <v>1066</v>
      </c>
      <c r="O34" s="233" t="s">
        <v>1067</v>
      </c>
      <c r="P34" s="233" t="s">
        <v>1060</v>
      </c>
      <c r="Q34" s="233" t="s">
        <v>1116</v>
      </c>
      <c r="R34" s="234" t="s">
        <v>1100</v>
      </c>
      <c r="S34" s="1"/>
      <c r="U34" s="228" t="s">
        <v>1034</v>
      </c>
      <c r="V34" s="232" t="s">
        <v>1108</v>
      </c>
      <c r="W34" s="233" t="s">
        <v>1053</v>
      </c>
      <c r="X34" s="233" t="s">
        <v>1071</v>
      </c>
      <c r="Y34" s="233" t="s">
        <v>1053</v>
      </c>
      <c r="Z34" s="233" t="s">
        <v>1058</v>
      </c>
      <c r="AA34" s="233" t="s">
        <v>1088</v>
      </c>
      <c r="AB34" s="233" t="s">
        <v>1114</v>
      </c>
      <c r="AC34" s="233" t="s">
        <v>1114</v>
      </c>
      <c r="AD34" s="233" t="s">
        <v>1058</v>
      </c>
      <c r="AE34" s="233" t="s">
        <v>1087</v>
      </c>
      <c r="AF34" s="233" t="s">
        <v>1115</v>
      </c>
      <c r="AG34" s="233" t="s">
        <v>1066</v>
      </c>
      <c r="AH34" s="233" t="s">
        <v>1067</v>
      </c>
      <c r="AI34" s="233" t="s">
        <v>1060</v>
      </c>
      <c r="AJ34" s="233" t="s">
        <v>1116</v>
      </c>
      <c r="AK34" s="234" t="s">
        <v>1100</v>
      </c>
      <c r="AL34" s="1"/>
    </row>
    <row r="35" spans="2:38" ht="12.75" customHeight="1" x14ac:dyDescent="0.25">
      <c r="B35" s="228" t="s">
        <v>1035</v>
      </c>
      <c r="C35" s="232" t="s">
        <v>1062</v>
      </c>
      <c r="D35" s="233" t="s">
        <v>1062</v>
      </c>
      <c r="E35" s="233" t="s">
        <v>1117</v>
      </c>
      <c r="F35" s="233" t="s">
        <v>1117</v>
      </c>
      <c r="G35" s="233" t="s">
        <v>1107</v>
      </c>
      <c r="H35" s="233" t="s">
        <v>1100</v>
      </c>
      <c r="I35" s="233" t="s">
        <v>1062</v>
      </c>
      <c r="J35" s="233" t="s">
        <v>1062</v>
      </c>
      <c r="K35" s="233" t="s">
        <v>1062</v>
      </c>
      <c r="L35" s="233" t="s">
        <v>1062</v>
      </c>
      <c r="M35" s="233" t="s">
        <v>1062</v>
      </c>
      <c r="N35" s="233" t="s">
        <v>1062</v>
      </c>
      <c r="O35" s="233" t="s">
        <v>1062</v>
      </c>
      <c r="P35" s="233" t="s">
        <v>1062</v>
      </c>
      <c r="Q35" s="233" t="s">
        <v>1118</v>
      </c>
      <c r="R35" s="234" t="s">
        <v>1118</v>
      </c>
      <c r="S35" s="1"/>
      <c r="U35" s="228" t="s">
        <v>1035</v>
      </c>
      <c r="V35" s="232" t="s">
        <v>1062</v>
      </c>
      <c r="W35" s="233" t="s">
        <v>1062</v>
      </c>
      <c r="X35" s="233" t="s">
        <v>1117</v>
      </c>
      <c r="Y35" s="233" t="s">
        <v>1117</v>
      </c>
      <c r="Z35" s="233" t="s">
        <v>1107</v>
      </c>
      <c r="AA35" s="233" t="s">
        <v>1100</v>
      </c>
      <c r="AB35" s="233" t="s">
        <v>1062</v>
      </c>
      <c r="AC35" s="233" t="s">
        <v>1062</v>
      </c>
      <c r="AD35" s="233" t="s">
        <v>1062</v>
      </c>
      <c r="AE35" s="233" t="s">
        <v>1062</v>
      </c>
      <c r="AF35" s="233" t="s">
        <v>1062</v>
      </c>
      <c r="AG35" s="233" t="s">
        <v>1062</v>
      </c>
      <c r="AH35" s="233" t="s">
        <v>1062</v>
      </c>
      <c r="AI35" s="233" t="s">
        <v>1062</v>
      </c>
      <c r="AJ35" s="233" t="s">
        <v>1118</v>
      </c>
      <c r="AK35" s="234" t="s">
        <v>1118</v>
      </c>
      <c r="AL35" s="1"/>
    </row>
    <row r="36" spans="2:38" ht="12.75" customHeight="1" x14ac:dyDescent="0.25">
      <c r="B36" s="228" t="s">
        <v>1036</v>
      </c>
      <c r="C36" s="232" t="s">
        <v>1052</v>
      </c>
      <c r="D36" s="233" t="s">
        <v>1052</v>
      </c>
      <c r="E36" s="233" t="s">
        <v>1052</v>
      </c>
      <c r="F36" s="233" t="s">
        <v>1052</v>
      </c>
      <c r="G36" s="233" t="s">
        <v>1052</v>
      </c>
      <c r="H36" s="233" t="s">
        <v>1052</v>
      </c>
      <c r="I36" s="233" t="s">
        <v>1052</v>
      </c>
      <c r="J36" s="233" t="s">
        <v>1052</v>
      </c>
      <c r="K36" s="233" t="s">
        <v>1052</v>
      </c>
      <c r="L36" s="233" t="s">
        <v>1052</v>
      </c>
      <c r="M36" s="233" t="s">
        <v>1052</v>
      </c>
      <c r="N36" s="233" t="s">
        <v>1052</v>
      </c>
      <c r="O36" s="233" t="s">
        <v>1052</v>
      </c>
      <c r="P36" s="233" t="s">
        <v>1052</v>
      </c>
      <c r="Q36" s="233" t="s">
        <v>1052</v>
      </c>
      <c r="R36" s="234" t="s">
        <v>1052</v>
      </c>
      <c r="S36" s="1"/>
      <c r="U36" s="228" t="s">
        <v>1036</v>
      </c>
      <c r="V36" s="232" t="s">
        <v>1052</v>
      </c>
      <c r="W36" s="233" t="s">
        <v>1052</v>
      </c>
      <c r="X36" s="233" t="s">
        <v>1052</v>
      </c>
      <c r="Y36" s="233" t="s">
        <v>1052</v>
      </c>
      <c r="Z36" s="233" t="s">
        <v>1052</v>
      </c>
      <c r="AA36" s="233" t="s">
        <v>1052</v>
      </c>
      <c r="AB36" s="233" t="s">
        <v>1052</v>
      </c>
      <c r="AC36" s="233" t="s">
        <v>1052</v>
      </c>
      <c r="AD36" s="233" t="s">
        <v>1052</v>
      </c>
      <c r="AE36" s="233" t="s">
        <v>1052</v>
      </c>
      <c r="AF36" s="233" t="s">
        <v>1052</v>
      </c>
      <c r="AG36" s="233" t="s">
        <v>1052</v>
      </c>
      <c r="AH36" s="233" t="s">
        <v>1052</v>
      </c>
      <c r="AI36" s="233" t="s">
        <v>1052</v>
      </c>
      <c r="AJ36" s="233" t="s">
        <v>1052</v>
      </c>
      <c r="AK36" s="234" t="s">
        <v>1052</v>
      </c>
      <c r="AL36" s="1"/>
    </row>
    <row r="37" spans="2:38" ht="12.75" customHeight="1" x14ac:dyDescent="0.25">
      <c r="B37" s="228" t="s">
        <v>1037</v>
      </c>
      <c r="C37" s="232" t="s">
        <v>1052</v>
      </c>
      <c r="D37" s="233" t="s">
        <v>1052</v>
      </c>
      <c r="E37" s="233" t="s">
        <v>1052</v>
      </c>
      <c r="F37" s="233" t="s">
        <v>1052</v>
      </c>
      <c r="G37" s="233" t="s">
        <v>1052</v>
      </c>
      <c r="H37" s="233" t="s">
        <v>1052</v>
      </c>
      <c r="I37" s="233" t="s">
        <v>1052</v>
      </c>
      <c r="J37" s="233" t="s">
        <v>1052</v>
      </c>
      <c r="K37" s="233" t="s">
        <v>1052</v>
      </c>
      <c r="L37" s="233" t="s">
        <v>1052</v>
      </c>
      <c r="M37" s="233" t="s">
        <v>1052</v>
      </c>
      <c r="N37" s="233" t="s">
        <v>1052</v>
      </c>
      <c r="O37" s="233" t="s">
        <v>1052</v>
      </c>
      <c r="P37" s="233" t="s">
        <v>1052</v>
      </c>
      <c r="Q37" s="233" t="s">
        <v>1052</v>
      </c>
      <c r="R37" s="234" t="s">
        <v>1052</v>
      </c>
      <c r="S37" s="1"/>
      <c r="U37" s="228" t="s">
        <v>1037</v>
      </c>
      <c r="V37" s="232" t="s">
        <v>1052</v>
      </c>
      <c r="W37" s="233" t="s">
        <v>1052</v>
      </c>
      <c r="X37" s="233" t="s">
        <v>1052</v>
      </c>
      <c r="Y37" s="233" t="s">
        <v>1052</v>
      </c>
      <c r="Z37" s="233" t="s">
        <v>1052</v>
      </c>
      <c r="AA37" s="233" t="s">
        <v>1052</v>
      </c>
      <c r="AB37" s="233" t="s">
        <v>1052</v>
      </c>
      <c r="AC37" s="233" t="s">
        <v>1052</v>
      </c>
      <c r="AD37" s="233" t="s">
        <v>1052</v>
      </c>
      <c r="AE37" s="233" t="s">
        <v>1052</v>
      </c>
      <c r="AF37" s="233" t="s">
        <v>1052</v>
      </c>
      <c r="AG37" s="233" t="s">
        <v>1052</v>
      </c>
      <c r="AH37" s="233" t="s">
        <v>1052</v>
      </c>
      <c r="AI37" s="233" t="s">
        <v>1052</v>
      </c>
      <c r="AJ37" s="233" t="s">
        <v>1052</v>
      </c>
      <c r="AK37" s="234" t="s">
        <v>1052</v>
      </c>
      <c r="AL37" s="1"/>
    </row>
    <row r="38" spans="2:38" ht="12.75" customHeight="1" x14ac:dyDescent="0.25">
      <c r="B38" s="228" t="s">
        <v>1038</v>
      </c>
      <c r="C38" s="232" t="s">
        <v>1052</v>
      </c>
      <c r="D38" s="233" t="s">
        <v>1052</v>
      </c>
      <c r="E38" s="233" t="s">
        <v>1052</v>
      </c>
      <c r="F38" s="233" t="s">
        <v>1052</v>
      </c>
      <c r="G38" s="233" t="s">
        <v>1052</v>
      </c>
      <c r="H38" s="233" t="s">
        <v>1052</v>
      </c>
      <c r="I38" s="233" t="s">
        <v>1052</v>
      </c>
      <c r="J38" s="233" t="s">
        <v>1052</v>
      </c>
      <c r="K38" s="233" t="s">
        <v>1052</v>
      </c>
      <c r="L38" s="233" t="s">
        <v>1052</v>
      </c>
      <c r="M38" s="233" t="s">
        <v>1052</v>
      </c>
      <c r="N38" s="233" t="s">
        <v>1052</v>
      </c>
      <c r="O38" s="233" t="s">
        <v>1052</v>
      </c>
      <c r="P38" s="233" t="s">
        <v>1052</v>
      </c>
      <c r="Q38" s="233" t="s">
        <v>1052</v>
      </c>
      <c r="R38" s="234" t="s">
        <v>1052</v>
      </c>
      <c r="S38" s="1"/>
      <c r="U38" s="228" t="s">
        <v>1038</v>
      </c>
      <c r="V38" s="232" t="s">
        <v>1052</v>
      </c>
      <c r="W38" s="233" t="s">
        <v>1052</v>
      </c>
      <c r="X38" s="233" t="s">
        <v>1052</v>
      </c>
      <c r="Y38" s="233" t="s">
        <v>1052</v>
      </c>
      <c r="Z38" s="233" t="s">
        <v>1052</v>
      </c>
      <c r="AA38" s="233" t="s">
        <v>1052</v>
      </c>
      <c r="AB38" s="233" t="s">
        <v>1052</v>
      </c>
      <c r="AC38" s="233" t="s">
        <v>1052</v>
      </c>
      <c r="AD38" s="233" t="s">
        <v>1052</v>
      </c>
      <c r="AE38" s="233" t="s">
        <v>1052</v>
      </c>
      <c r="AF38" s="233" t="s">
        <v>1052</v>
      </c>
      <c r="AG38" s="233" t="s">
        <v>1052</v>
      </c>
      <c r="AH38" s="233" t="s">
        <v>1052</v>
      </c>
      <c r="AI38" s="233" t="s">
        <v>1052</v>
      </c>
      <c r="AJ38" s="233" t="s">
        <v>1052</v>
      </c>
      <c r="AK38" s="234" t="s">
        <v>1052</v>
      </c>
      <c r="AL38" s="1"/>
    </row>
    <row r="39" spans="2:38" ht="12.75" customHeight="1" x14ac:dyDescent="0.25">
      <c r="B39" s="228" t="s">
        <v>1039</v>
      </c>
      <c r="C39" s="232" t="s">
        <v>1060</v>
      </c>
      <c r="D39" s="233" t="s">
        <v>1065</v>
      </c>
      <c r="E39" s="233" t="s">
        <v>1062</v>
      </c>
      <c r="F39" s="233" t="s">
        <v>1062</v>
      </c>
      <c r="G39" s="233" t="s">
        <v>1062</v>
      </c>
      <c r="H39" s="233" t="s">
        <v>1062</v>
      </c>
      <c r="I39" s="233" t="s">
        <v>1062</v>
      </c>
      <c r="J39" s="233" t="s">
        <v>1062</v>
      </c>
      <c r="K39" s="233" t="s">
        <v>1062</v>
      </c>
      <c r="L39" s="233" t="s">
        <v>1062</v>
      </c>
      <c r="M39" s="233" t="s">
        <v>1062</v>
      </c>
      <c r="N39" s="233" t="s">
        <v>1062</v>
      </c>
      <c r="O39" s="233" t="s">
        <v>1062</v>
      </c>
      <c r="P39" s="233" t="s">
        <v>1062</v>
      </c>
      <c r="Q39" s="233" t="s">
        <v>1119</v>
      </c>
      <c r="R39" s="234" t="s">
        <v>1052</v>
      </c>
      <c r="S39" s="1"/>
      <c r="U39" s="228" t="s">
        <v>1039</v>
      </c>
      <c r="V39" s="232" t="s">
        <v>1060</v>
      </c>
      <c r="W39" s="233" t="s">
        <v>1065</v>
      </c>
      <c r="X39" s="233" t="s">
        <v>1062</v>
      </c>
      <c r="Y39" s="233" t="s">
        <v>1062</v>
      </c>
      <c r="Z39" s="233" t="s">
        <v>1062</v>
      </c>
      <c r="AA39" s="233" t="s">
        <v>1062</v>
      </c>
      <c r="AB39" s="233" t="s">
        <v>1062</v>
      </c>
      <c r="AC39" s="233" t="s">
        <v>1062</v>
      </c>
      <c r="AD39" s="233" t="s">
        <v>1062</v>
      </c>
      <c r="AE39" s="233" t="s">
        <v>1062</v>
      </c>
      <c r="AF39" s="233" t="s">
        <v>1062</v>
      </c>
      <c r="AG39" s="233" t="s">
        <v>1062</v>
      </c>
      <c r="AH39" s="233" t="s">
        <v>1062</v>
      </c>
      <c r="AI39" s="233" t="s">
        <v>1062</v>
      </c>
      <c r="AJ39" s="233" t="s">
        <v>1119</v>
      </c>
      <c r="AK39" s="234" t="s">
        <v>1052</v>
      </c>
      <c r="AL39" s="1"/>
    </row>
    <row r="40" spans="2:38" ht="12.75" customHeight="1" x14ac:dyDescent="0.25">
      <c r="B40" s="228" t="s">
        <v>1040</v>
      </c>
      <c r="C40" s="232" t="s">
        <v>1062</v>
      </c>
      <c r="D40" s="233" t="s">
        <v>1062</v>
      </c>
      <c r="E40" s="233" t="s">
        <v>1062</v>
      </c>
      <c r="F40" s="233" t="s">
        <v>1062</v>
      </c>
      <c r="G40" s="233" t="s">
        <v>1062</v>
      </c>
      <c r="H40" s="233" t="s">
        <v>1062</v>
      </c>
      <c r="I40" s="233" t="s">
        <v>1062</v>
      </c>
      <c r="J40" s="233" t="s">
        <v>1062</v>
      </c>
      <c r="K40" s="233" t="s">
        <v>1062</v>
      </c>
      <c r="L40" s="233" t="s">
        <v>1062</v>
      </c>
      <c r="M40" s="233" t="s">
        <v>1062</v>
      </c>
      <c r="N40" s="233" t="s">
        <v>1062</v>
      </c>
      <c r="O40" s="233" t="s">
        <v>1062</v>
      </c>
      <c r="P40" s="233" t="s">
        <v>1062</v>
      </c>
      <c r="Q40" s="233" t="s">
        <v>1120</v>
      </c>
      <c r="R40" s="234" t="s">
        <v>1052</v>
      </c>
      <c r="S40" s="1"/>
      <c r="U40" s="228" t="s">
        <v>1040</v>
      </c>
      <c r="V40" s="232" t="s">
        <v>1062</v>
      </c>
      <c r="W40" s="233" t="s">
        <v>1062</v>
      </c>
      <c r="X40" s="233" t="s">
        <v>1062</v>
      </c>
      <c r="Y40" s="233" t="s">
        <v>1062</v>
      </c>
      <c r="Z40" s="233" t="s">
        <v>1062</v>
      </c>
      <c r="AA40" s="233" t="s">
        <v>1062</v>
      </c>
      <c r="AB40" s="233" t="s">
        <v>1062</v>
      </c>
      <c r="AC40" s="233" t="s">
        <v>1062</v>
      </c>
      <c r="AD40" s="233" t="s">
        <v>1062</v>
      </c>
      <c r="AE40" s="233" t="s">
        <v>1062</v>
      </c>
      <c r="AF40" s="233" t="s">
        <v>1062</v>
      </c>
      <c r="AG40" s="233" t="s">
        <v>1062</v>
      </c>
      <c r="AH40" s="233" t="s">
        <v>1062</v>
      </c>
      <c r="AI40" s="233" t="s">
        <v>1062</v>
      </c>
      <c r="AJ40" s="233" t="s">
        <v>1120</v>
      </c>
      <c r="AK40" s="234" t="s">
        <v>1052</v>
      </c>
      <c r="AL40" s="1"/>
    </row>
    <row r="41" spans="2:38" ht="12.75" customHeight="1" x14ac:dyDescent="0.25">
      <c r="B41" s="228" t="s">
        <v>1041</v>
      </c>
      <c r="C41" s="232" t="s">
        <v>1062</v>
      </c>
      <c r="D41" s="233" t="s">
        <v>1062</v>
      </c>
      <c r="E41" s="233" t="s">
        <v>1062</v>
      </c>
      <c r="F41" s="233" t="s">
        <v>1062</v>
      </c>
      <c r="G41" s="233" t="s">
        <v>1062</v>
      </c>
      <c r="H41" s="233" t="s">
        <v>1062</v>
      </c>
      <c r="I41" s="233" t="s">
        <v>1062</v>
      </c>
      <c r="J41" s="233" t="s">
        <v>1062</v>
      </c>
      <c r="K41" s="233" t="s">
        <v>1062</v>
      </c>
      <c r="L41" s="233" t="s">
        <v>1062</v>
      </c>
      <c r="M41" s="233" t="s">
        <v>1062</v>
      </c>
      <c r="N41" s="233" t="s">
        <v>1062</v>
      </c>
      <c r="O41" s="233" t="s">
        <v>1062</v>
      </c>
      <c r="P41" s="233" t="s">
        <v>1062</v>
      </c>
      <c r="Q41" s="233" t="s">
        <v>1121</v>
      </c>
      <c r="R41" s="234" t="s">
        <v>1052</v>
      </c>
      <c r="S41" s="1"/>
      <c r="U41" s="228" t="s">
        <v>1041</v>
      </c>
      <c r="V41" s="232" t="s">
        <v>1062</v>
      </c>
      <c r="W41" s="233" t="s">
        <v>1062</v>
      </c>
      <c r="X41" s="233" t="s">
        <v>1062</v>
      </c>
      <c r="Y41" s="233" t="s">
        <v>1062</v>
      </c>
      <c r="Z41" s="233" t="s">
        <v>1062</v>
      </c>
      <c r="AA41" s="233" t="s">
        <v>1062</v>
      </c>
      <c r="AB41" s="233" t="s">
        <v>1062</v>
      </c>
      <c r="AC41" s="233" t="s">
        <v>1062</v>
      </c>
      <c r="AD41" s="233" t="s">
        <v>1062</v>
      </c>
      <c r="AE41" s="233" t="s">
        <v>1062</v>
      </c>
      <c r="AF41" s="233" t="s">
        <v>1062</v>
      </c>
      <c r="AG41" s="233" t="s">
        <v>1062</v>
      </c>
      <c r="AH41" s="233" t="s">
        <v>1062</v>
      </c>
      <c r="AI41" s="233" t="s">
        <v>1062</v>
      </c>
      <c r="AJ41" s="233" t="s">
        <v>1121</v>
      </c>
      <c r="AK41" s="234" t="s">
        <v>1052</v>
      </c>
      <c r="AL41" s="1"/>
    </row>
    <row r="42" spans="2:38" ht="12.75" customHeight="1" x14ac:dyDescent="0.25">
      <c r="B42" s="228" t="s">
        <v>1042</v>
      </c>
      <c r="C42" s="232" t="s">
        <v>1110</v>
      </c>
      <c r="D42" s="233" t="s">
        <v>1122</v>
      </c>
      <c r="E42" s="233" t="s">
        <v>1062</v>
      </c>
      <c r="F42" s="233" t="s">
        <v>1062</v>
      </c>
      <c r="G42" s="233" t="s">
        <v>1062</v>
      </c>
      <c r="H42" s="233" t="s">
        <v>1062</v>
      </c>
      <c r="I42" s="233" t="s">
        <v>1062</v>
      </c>
      <c r="J42" s="233" t="s">
        <v>1062</v>
      </c>
      <c r="K42" s="233" t="s">
        <v>1062</v>
      </c>
      <c r="L42" s="233" t="s">
        <v>1062</v>
      </c>
      <c r="M42" s="233" t="s">
        <v>1062</v>
      </c>
      <c r="N42" s="233" t="s">
        <v>1062</v>
      </c>
      <c r="O42" s="233" t="s">
        <v>1062</v>
      </c>
      <c r="P42" s="233" t="s">
        <v>1062</v>
      </c>
      <c r="Q42" s="233" t="s">
        <v>1123</v>
      </c>
      <c r="R42" s="234" t="s">
        <v>1052</v>
      </c>
      <c r="S42" s="1"/>
      <c r="U42" s="228" t="s">
        <v>1042</v>
      </c>
      <c r="V42" s="232" t="s">
        <v>1110</v>
      </c>
      <c r="W42" s="233" t="s">
        <v>1122</v>
      </c>
      <c r="X42" s="233" t="s">
        <v>1062</v>
      </c>
      <c r="Y42" s="233" t="s">
        <v>1062</v>
      </c>
      <c r="Z42" s="233" t="s">
        <v>1062</v>
      </c>
      <c r="AA42" s="233" t="s">
        <v>1062</v>
      </c>
      <c r="AB42" s="233" t="s">
        <v>1062</v>
      </c>
      <c r="AC42" s="233" t="s">
        <v>1062</v>
      </c>
      <c r="AD42" s="233" t="s">
        <v>1062</v>
      </c>
      <c r="AE42" s="233" t="s">
        <v>1062</v>
      </c>
      <c r="AF42" s="233" t="s">
        <v>1062</v>
      </c>
      <c r="AG42" s="233" t="s">
        <v>1062</v>
      </c>
      <c r="AH42" s="233" t="s">
        <v>1062</v>
      </c>
      <c r="AI42" s="233" t="s">
        <v>1062</v>
      </c>
      <c r="AJ42" s="233" t="s">
        <v>1123</v>
      </c>
      <c r="AK42" s="234" t="s">
        <v>1052</v>
      </c>
      <c r="AL42" s="1"/>
    </row>
    <row r="43" spans="2:38" ht="12.75" customHeight="1" x14ac:dyDescent="0.25">
      <c r="B43" s="228" t="s">
        <v>1043</v>
      </c>
      <c r="C43" s="232" t="s">
        <v>1062</v>
      </c>
      <c r="D43" s="233" t="s">
        <v>1062</v>
      </c>
      <c r="E43" s="233" t="s">
        <v>1062</v>
      </c>
      <c r="F43" s="233" t="s">
        <v>1062</v>
      </c>
      <c r="G43" s="233" t="s">
        <v>1062</v>
      </c>
      <c r="H43" s="233" t="s">
        <v>1062</v>
      </c>
      <c r="I43" s="233" t="s">
        <v>1062</v>
      </c>
      <c r="J43" s="233" t="s">
        <v>1062</v>
      </c>
      <c r="K43" s="233" t="s">
        <v>1062</v>
      </c>
      <c r="L43" s="233" t="s">
        <v>1062</v>
      </c>
      <c r="M43" s="233" t="s">
        <v>1062</v>
      </c>
      <c r="N43" s="233" t="s">
        <v>1062</v>
      </c>
      <c r="O43" s="233" t="s">
        <v>1062</v>
      </c>
      <c r="P43" s="233" t="s">
        <v>1062</v>
      </c>
      <c r="Q43" s="233" t="s">
        <v>1124</v>
      </c>
      <c r="R43" s="234" t="s">
        <v>1052</v>
      </c>
      <c r="S43" s="1"/>
      <c r="U43" s="228" t="s">
        <v>1043</v>
      </c>
      <c r="V43" s="232" t="s">
        <v>1062</v>
      </c>
      <c r="W43" s="233" t="s">
        <v>1062</v>
      </c>
      <c r="X43" s="233" t="s">
        <v>1062</v>
      </c>
      <c r="Y43" s="233" t="s">
        <v>1062</v>
      </c>
      <c r="Z43" s="233" t="s">
        <v>1062</v>
      </c>
      <c r="AA43" s="233" t="s">
        <v>1062</v>
      </c>
      <c r="AB43" s="233" t="s">
        <v>1062</v>
      </c>
      <c r="AC43" s="233" t="s">
        <v>1062</v>
      </c>
      <c r="AD43" s="233" t="s">
        <v>1062</v>
      </c>
      <c r="AE43" s="233" t="s">
        <v>1062</v>
      </c>
      <c r="AF43" s="233" t="s">
        <v>1062</v>
      </c>
      <c r="AG43" s="233" t="s">
        <v>1062</v>
      </c>
      <c r="AH43" s="233" t="s">
        <v>1062</v>
      </c>
      <c r="AI43" s="233" t="s">
        <v>1062</v>
      </c>
      <c r="AJ43" s="233" t="s">
        <v>1124</v>
      </c>
      <c r="AK43" s="234" t="s">
        <v>1052</v>
      </c>
      <c r="AL43" s="1"/>
    </row>
    <row r="44" spans="2:38" ht="12.75" customHeight="1" x14ac:dyDescent="0.25">
      <c r="B44" s="228" t="s">
        <v>1044</v>
      </c>
      <c r="C44" s="232" t="s">
        <v>1062</v>
      </c>
      <c r="D44" s="233" t="s">
        <v>1062</v>
      </c>
      <c r="E44" s="233" t="s">
        <v>1062</v>
      </c>
      <c r="F44" s="233" t="s">
        <v>1062</v>
      </c>
      <c r="G44" s="233" t="s">
        <v>1062</v>
      </c>
      <c r="H44" s="233" t="s">
        <v>1062</v>
      </c>
      <c r="I44" s="233" t="s">
        <v>1062</v>
      </c>
      <c r="J44" s="233" t="s">
        <v>1062</v>
      </c>
      <c r="K44" s="233" t="s">
        <v>1062</v>
      </c>
      <c r="L44" s="233" t="s">
        <v>1062</v>
      </c>
      <c r="M44" s="233" t="s">
        <v>1062</v>
      </c>
      <c r="N44" s="233" t="s">
        <v>1062</v>
      </c>
      <c r="O44" s="233" t="s">
        <v>1062</v>
      </c>
      <c r="P44" s="233" t="s">
        <v>1062</v>
      </c>
      <c r="Q44" s="233" t="s">
        <v>1125</v>
      </c>
      <c r="R44" s="234" t="s">
        <v>1052</v>
      </c>
      <c r="S44" s="1"/>
      <c r="U44" s="228" t="s">
        <v>1044</v>
      </c>
      <c r="V44" s="232" t="s">
        <v>1062</v>
      </c>
      <c r="W44" s="233" t="s">
        <v>1062</v>
      </c>
      <c r="X44" s="233" t="s">
        <v>1062</v>
      </c>
      <c r="Y44" s="233" t="s">
        <v>1062</v>
      </c>
      <c r="Z44" s="233" t="s">
        <v>1062</v>
      </c>
      <c r="AA44" s="233" t="s">
        <v>1062</v>
      </c>
      <c r="AB44" s="233" t="s">
        <v>1062</v>
      </c>
      <c r="AC44" s="233" t="s">
        <v>1062</v>
      </c>
      <c r="AD44" s="233" t="s">
        <v>1062</v>
      </c>
      <c r="AE44" s="233" t="s">
        <v>1062</v>
      </c>
      <c r="AF44" s="233" t="s">
        <v>1062</v>
      </c>
      <c r="AG44" s="233" t="s">
        <v>1062</v>
      </c>
      <c r="AH44" s="233" t="s">
        <v>1062</v>
      </c>
      <c r="AI44" s="233" t="s">
        <v>1062</v>
      </c>
      <c r="AJ44" s="233" t="s">
        <v>1125</v>
      </c>
      <c r="AK44" s="234" t="s">
        <v>1052</v>
      </c>
      <c r="AL44" s="1"/>
    </row>
    <row r="45" spans="2:38" ht="12.75" customHeight="1" x14ac:dyDescent="0.25">
      <c r="B45" s="228" t="s">
        <v>1045</v>
      </c>
      <c r="C45" s="232" t="s">
        <v>1062</v>
      </c>
      <c r="D45" s="233" t="s">
        <v>1062</v>
      </c>
      <c r="E45" s="233" t="s">
        <v>1062</v>
      </c>
      <c r="F45" s="233" t="s">
        <v>1062</v>
      </c>
      <c r="G45" s="233" t="s">
        <v>1062</v>
      </c>
      <c r="H45" s="233" t="s">
        <v>1062</v>
      </c>
      <c r="I45" s="233" t="s">
        <v>1062</v>
      </c>
      <c r="J45" s="233" t="s">
        <v>1062</v>
      </c>
      <c r="K45" s="233" t="s">
        <v>1062</v>
      </c>
      <c r="L45" s="233" t="s">
        <v>1062</v>
      </c>
      <c r="M45" s="233" t="s">
        <v>1062</v>
      </c>
      <c r="N45" s="233" t="s">
        <v>1062</v>
      </c>
      <c r="O45" s="233" t="s">
        <v>1062</v>
      </c>
      <c r="P45" s="233" t="s">
        <v>1062</v>
      </c>
      <c r="Q45" s="233" t="s">
        <v>1126</v>
      </c>
      <c r="R45" s="234" t="s">
        <v>1052</v>
      </c>
      <c r="S45" s="1"/>
      <c r="U45" s="228" t="s">
        <v>1045</v>
      </c>
      <c r="V45" s="232" t="s">
        <v>1062</v>
      </c>
      <c r="W45" s="233" t="s">
        <v>1062</v>
      </c>
      <c r="X45" s="233" t="s">
        <v>1062</v>
      </c>
      <c r="Y45" s="233" t="s">
        <v>1062</v>
      </c>
      <c r="Z45" s="233" t="s">
        <v>1062</v>
      </c>
      <c r="AA45" s="233" t="s">
        <v>1062</v>
      </c>
      <c r="AB45" s="233" t="s">
        <v>1062</v>
      </c>
      <c r="AC45" s="233" t="s">
        <v>1062</v>
      </c>
      <c r="AD45" s="233" t="s">
        <v>1062</v>
      </c>
      <c r="AE45" s="233" t="s">
        <v>1062</v>
      </c>
      <c r="AF45" s="233" t="s">
        <v>1062</v>
      </c>
      <c r="AG45" s="233" t="s">
        <v>1062</v>
      </c>
      <c r="AH45" s="233" t="s">
        <v>1062</v>
      </c>
      <c r="AI45" s="233" t="s">
        <v>1062</v>
      </c>
      <c r="AJ45" s="233" t="s">
        <v>1126</v>
      </c>
      <c r="AK45" s="234" t="s">
        <v>1052</v>
      </c>
      <c r="AL45" s="1"/>
    </row>
    <row r="46" spans="2:38" ht="12.75" customHeight="1" x14ac:dyDescent="0.25">
      <c r="B46" s="228" t="s">
        <v>1046</v>
      </c>
      <c r="C46" s="232" t="s">
        <v>1062</v>
      </c>
      <c r="D46" s="233" t="s">
        <v>1062</v>
      </c>
      <c r="E46" s="233" t="s">
        <v>1114</v>
      </c>
      <c r="F46" s="233" t="s">
        <v>1096</v>
      </c>
      <c r="G46" s="233" t="s">
        <v>1058</v>
      </c>
      <c r="H46" s="233" t="s">
        <v>1127</v>
      </c>
      <c r="I46" s="233" t="s">
        <v>1058</v>
      </c>
      <c r="J46" s="233" t="s">
        <v>1066</v>
      </c>
      <c r="K46" s="233" t="s">
        <v>1058</v>
      </c>
      <c r="L46" s="233" t="s">
        <v>1087</v>
      </c>
      <c r="M46" s="233" t="s">
        <v>1067</v>
      </c>
      <c r="N46" s="233" t="s">
        <v>1128</v>
      </c>
      <c r="O46" s="233" t="s">
        <v>1129</v>
      </c>
      <c r="P46" s="233" t="s">
        <v>1110</v>
      </c>
      <c r="Q46" s="233" t="s">
        <v>1130</v>
      </c>
      <c r="R46" s="234" t="s">
        <v>1054</v>
      </c>
      <c r="S46" s="1"/>
      <c r="U46" s="228" t="s">
        <v>1046</v>
      </c>
      <c r="V46" s="232" t="s">
        <v>1062</v>
      </c>
      <c r="W46" s="233" t="s">
        <v>1062</v>
      </c>
      <c r="X46" s="233" t="s">
        <v>1114</v>
      </c>
      <c r="Y46" s="233" t="s">
        <v>1096</v>
      </c>
      <c r="Z46" s="233" t="s">
        <v>1058</v>
      </c>
      <c r="AA46" s="233" t="s">
        <v>1127</v>
      </c>
      <c r="AB46" s="233" t="s">
        <v>1058</v>
      </c>
      <c r="AC46" s="233" t="s">
        <v>1066</v>
      </c>
      <c r="AD46" s="233" t="s">
        <v>1058</v>
      </c>
      <c r="AE46" s="233" t="s">
        <v>1087</v>
      </c>
      <c r="AF46" s="233" t="s">
        <v>1067</v>
      </c>
      <c r="AG46" s="233" t="s">
        <v>1128</v>
      </c>
      <c r="AH46" s="233" t="s">
        <v>1129</v>
      </c>
      <c r="AI46" s="233" t="s">
        <v>1110</v>
      </c>
      <c r="AJ46" s="233" t="s">
        <v>1130</v>
      </c>
      <c r="AK46" s="234" t="s">
        <v>1054</v>
      </c>
      <c r="AL46" s="1"/>
    </row>
    <row r="47" spans="2:38" ht="12.75" customHeight="1" x14ac:dyDescent="0.25">
      <c r="B47" s="228" t="s">
        <v>1047</v>
      </c>
      <c r="C47" s="232" t="s">
        <v>1058</v>
      </c>
      <c r="D47" s="233" t="s">
        <v>1058</v>
      </c>
      <c r="E47" s="233" t="s">
        <v>1058</v>
      </c>
      <c r="F47" s="233" t="s">
        <v>1087</v>
      </c>
      <c r="G47" s="233" t="s">
        <v>1062</v>
      </c>
      <c r="H47" s="233" t="s">
        <v>1062</v>
      </c>
      <c r="I47" s="233" t="s">
        <v>1062</v>
      </c>
      <c r="J47" s="233" t="s">
        <v>1062</v>
      </c>
      <c r="K47" s="233" t="s">
        <v>1062</v>
      </c>
      <c r="L47" s="233" t="s">
        <v>1062</v>
      </c>
      <c r="M47" s="233" t="s">
        <v>1062</v>
      </c>
      <c r="N47" s="233" t="s">
        <v>1062</v>
      </c>
      <c r="O47" s="233" t="s">
        <v>1062</v>
      </c>
      <c r="P47" s="233" t="s">
        <v>1062</v>
      </c>
      <c r="Q47" s="233" t="s">
        <v>1131</v>
      </c>
      <c r="R47" s="234" t="s">
        <v>1052</v>
      </c>
      <c r="S47" s="1"/>
      <c r="U47" s="228" t="s">
        <v>1047</v>
      </c>
      <c r="V47" s="232" t="s">
        <v>1058</v>
      </c>
      <c r="W47" s="233" t="s">
        <v>1058</v>
      </c>
      <c r="X47" s="233" t="s">
        <v>1058</v>
      </c>
      <c r="Y47" s="233" t="s">
        <v>1087</v>
      </c>
      <c r="Z47" s="233" t="s">
        <v>1062</v>
      </c>
      <c r="AA47" s="233" t="s">
        <v>1062</v>
      </c>
      <c r="AB47" s="233" t="s">
        <v>1062</v>
      </c>
      <c r="AC47" s="233" t="s">
        <v>1062</v>
      </c>
      <c r="AD47" s="233" t="s">
        <v>1062</v>
      </c>
      <c r="AE47" s="233" t="s">
        <v>1062</v>
      </c>
      <c r="AF47" s="233" t="s">
        <v>1062</v>
      </c>
      <c r="AG47" s="233" t="s">
        <v>1062</v>
      </c>
      <c r="AH47" s="233" t="s">
        <v>1062</v>
      </c>
      <c r="AI47" s="233" t="s">
        <v>1062</v>
      </c>
      <c r="AJ47" s="233" t="s">
        <v>1131</v>
      </c>
      <c r="AK47" s="234" t="s">
        <v>1052</v>
      </c>
      <c r="AL47" s="1"/>
    </row>
    <row r="48" spans="2:38" ht="12.75" customHeight="1" x14ac:dyDescent="0.25">
      <c r="B48" s="228" t="s">
        <v>1048</v>
      </c>
      <c r="C48" s="232" t="s">
        <v>1060</v>
      </c>
      <c r="D48" s="233" t="s">
        <v>1061</v>
      </c>
      <c r="E48" s="233" t="s">
        <v>1132</v>
      </c>
      <c r="F48" s="233" t="s">
        <v>1112</v>
      </c>
      <c r="G48" s="233" t="s">
        <v>1133</v>
      </c>
      <c r="H48" s="233" t="s">
        <v>1134</v>
      </c>
      <c r="I48" s="233" t="s">
        <v>1135</v>
      </c>
      <c r="J48" s="233" t="s">
        <v>1136</v>
      </c>
      <c r="K48" s="233" t="s">
        <v>1068</v>
      </c>
      <c r="L48" s="233" t="s">
        <v>1113</v>
      </c>
      <c r="M48" s="233" t="s">
        <v>1085</v>
      </c>
      <c r="N48" s="233" t="s">
        <v>1062</v>
      </c>
      <c r="O48" s="233" t="s">
        <v>1062</v>
      </c>
      <c r="P48" s="233" t="s">
        <v>1062</v>
      </c>
      <c r="Q48" s="233" t="s">
        <v>1137</v>
      </c>
      <c r="R48" s="234" t="s">
        <v>1100</v>
      </c>
      <c r="S48" s="1"/>
      <c r="U48" s="228" t="s">
        <v>1048</v>
      </c>
      <c r="V48" s="232" t="s">
        <v>1060</v>
      </c>
      <c r="W48" s="233" t="s">
        <v>1061</v>
      </c>
      <c r="X48" s="233" t="s">
        <v>1132</v>
      </c>
      <c r="Y48" s="233" t="s">
        <v>1112</v>
      </c>
      <c r="Z48" s="233" t="s">
        <v>1133</v>
      </c>
      <c r="AA48" s="233" t="s">
        <v>1134</v>
      </c>
      <c r="AB48" s="233" t="s">
        <v>1135</v>
      </c>
      <c r="AC48" s="233" t="s">
        <v>1136</v>
      </c>
      <c r="AD48" s="233" t="s">
        <v>1068</v>
      </c>
      <c r="AE48" s="233" t="s">
        <v>1113</v>
      </c>
      <c r="AF48" s="233" t="s">
        <v>1085</v>
      </c>
      <c r="AG48" s="233" t="s">
        <v>1062</v>
      </c>
      <c r="AH48" s="233" t="s">
        <v>1062</v>
      </c>
      <c r="AI48" s="233" t="s">
        <v>1062</v>
      </c>
      <c r="AJ48" s="233" t="s">
        <v>1137</v>
      </c>
      <c r="AK48" s="234" t="s">
        <v>1100</v>
      </c>
      <c r="AL48" s="1"/>
    </row>
    <row r="49" spans="2:38" ht="12.75" customHeight="1" thickBot="1" x14ac:dyDescent="0.3">
      <c r="B49" s="228" t="s">
        <v>1049</v>
      </c>
      <c r="C49" s="235" t="s">
        <v>1060</v>
      </c>
      <c r="D49" s="236" t="s">
        <v>1061</v>
      </c>
      <c r="E49" s="236" t="s">
        <v>1132</v>
      </c>
      <c r="F49" s="236" t="s">
        <v>1112</v>
      </c>
      <c r="G49" s="236" t="s">
        <v>1133</v>
      </c>
      <c r="H49" s="236" t="s">
        <v>1134</v>
      </c>
      <c r="I49" s="236" t="s">
        <v>1135</v>
      </c>
      <c r="J49" s="236" t="s">
        <v>1136</v>
      </c>
      <c r="K49" s="236" t="s">
        <v>1068</v>
      </c>
      <c r="L49" s="236" t="s">
        <v>1113</v>
      </c>
      <c r="M49" s="236" t="s">
        <v>1085</v>
      </c>
      <c r="N49" s="236" t="s">
        <v>1062</v>
      </c>
      <c r="O49" s="236" t="s">
        <v>1062</v>
      </c>
      <c r="P49" s="236" t="s">
        <v>1062</v>
      </c>
      <c r="Q49" s="236" t="s">
        <v>1137</v>
      </c>
      <c r="R49" s="237" t="s">
        <v>1100</v>
      </c>
      <c r="S49" s="1"/>
      <c r="U49" s="228" t="s">
        <v>1049</v>
      </c>
      <c r="V49" s="235" t="s">
        <v>1060</v>
      </c>
      <c r="W49" s="236" t="s">
        <v>1061</v>
      </c>
      <c r="X49" s="236" t="s">
        <v>1132</v>
      </c>
      <c r="Y49" s="236" t="s">
        <v>1112</v>
      </c>
      <c r="Z49" s="236" t="s">
        <v>1133</v>
      </c>
      <c r="AA49" s="236" t="s">
        <v>1134</v>
      </c>
      <c r="AB49" s="236" t="s">
        <v>1135</v>
      </c>
      <c r="AC49" s="236" t="s">
        <v>1136</v>
      </c>
      <c r="AD49" s="236" t="s">
        <v>1068</v>
      </c>
      <c r="AE49" s="236" t="s">
        <v>1113</v>
      </c>
      <c r="AF49" s="236" t="s">
        <v>1085</v>
      </c>
      <c r="AG49" s="236" t="s">
        <v>1062</v>
      </c>
      <c r="AH49" s="236" t="s">
        <v>1062</v>
      </c>
      <c r="AI49" s="236" t="s">
        <v>1062</v>
      </c>
      <c r="AJ49" s="236" t="s">
        <v>1137</v>
      </c>
      <c r="AK49" s="237" t="s">
        <v>1100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algorithmName="SHA-512" hashValue="xMYUQBoeClufRnV90QP2gQRq3Upd66SLWo6rUfuS5JqjBME2EX4SKeVCx3lXBvwbspjb5hLLSvsfi/YHwsBsRg==" saltValue="MFoT6lH/T9GTiHHux40FGQ==" spinCount="100000" sheet="1" objects="1" scenarios="1"/>
  <mergeCells count="14">
    <mergeCell ref="C14:G14"/>
    <mergeCell ref="C3:R10"/>
    <mergeCell ref="C11:R12"/>
    <mergeCell ref="U4:Y4"/>
    <mergeCell ref="C17:R17"/>
    <mergeCell ref="V17:AK17"/>
    <mergeCell ref="U6:Y6"/>
    <mergeCell ref="Z6:AE6"/>
    <mergeCell ref="U8:W8"/>
    <mergeCell ref="U2:AL2"/>
    <mergeCell ref="U10:W10"/>
    <mergeCell ref="X10:AA10"/>
    <mergeCell ref="X8:AD8"/>
    <mergeCell ref="AE8:AK8"/>
  </mergeCells>
  <conditionalFormatting sqref="V18:AK49">
    <cfRule type="expression" dxfId="1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showRowColHeaders="0" workbookViewId="0">
      <selection activeCell="J24" sqref="J24"/>
    </sheetView>
  </sheetViews>
  <sheetFormatPr defaultRowHeight="15" x14ac:dyDescent="0.25"/>
  <cols>
    <col min="1" max="16384" width="9.140625" style="254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6" t="s">
        <v>1158</v>
      </c>
      <c r="D3" s="337"/>
      <c r="E3" s="337"/>
      <c r="F3" s="337"/>
      <c r="G3" s="337"/>
      <c r="H3" s="338"/>
      <c r="I3" s="22"/>
    </row>
    <row r="4" spans="2:9" x14ac:dyDescent="0.25">
      <c r="B4" s="48"/>
      <c r="C4" s="339"/>
      <c r="D4" s="340"/>
      <c r="E4" s="340"/>
      <c r="F4" s="340"/>
      <c r="G4" s="340"/>
      <c r="H4" s="341"/>
      <c r="I4" s="22"/>
    </row>
    <row r="5" spans="2:9" x14ac:dyDescent="0.25">
      <c r="B5" s="48"/>
      <c r="C5" s="339"/>
      <c r="D5" s="340"/>
      <c r="E5" s="340"/>
      <c r="F5" s="340"/>
      <c r="G5" s="340"/>
      <c r="H5" s="341"/>
      <c r="I5" s="22"/>
    </row>
    <row r="6" spans="2:9" x14ac:dyDescent="0.25">
      <c r="B6" s="48"/>
      <c r="C6" s="339"/>
      <c r="D6" s="340"/>
      <c r="E6" s="340"/>
      <c r="F6" s="340"/>
      <c r="G6" s="340"/>
      <c r="H6" s="341"/>
      <c r="I6" s="22"/>
    </row>
    <row r="7" spans="2:9" x14ac:dyDescent="0.25">
      <c r="B7" s="48"/>
      <c r="C7" s="339"/>
      <c r="D7" s="340"/>
      <c r="E7" s="340"/>
      <c r="F7" s="340"/>
      <c r="G7" s="340"/>
      <c r="H7" s="341"/>
      <c r="I7" s="22"/>
    </row>
    <row r="8" spans="2:9" x14ac:dyDescent="0.25">
      <c r="B8" s="58"/>
      <c r="C8" s="339"/>
      <c r="D8" s="340"/>
      <c r="E8" s="340"/>
      <c r="F8" s="340"/>
      <c r="G8" s="340"/>
      <c r="H8" s="341"/>
      <c r="I8" s="1"/>
    </row>
    <row r="9" spans="2:9" x14ac:dyDescent="0.25">
      <c r="B9" s="58"/>
      <c r="C9" s="339"/>
      <c r="D9" s="340"/>
      <c r="E9" s="340"/>
      <c r="F9" s="340"/>
      <c r="G9" s="340"/>
      <c r="H9" s="341"/>
      <c r="I9" s="1"/>
    </row>
    <row r="10" spans="2:9" x14ac:dyDescent="0.25">
      <c r="B10" s="1"/>
      <c r="C10" s="339"/>
      <c r="D10" s="340"/>
      <c r="E10" s="340"/>
      <c r="F10" s="340"/>
      <c r="G10" s="340"/>
      <c r="H10" s="341"/>
      <c r="I10" s="1"/>
    </row>
    <row r="11" spans="2:9" x14ac:dyDescent="0.25">
      <c r="B11" s="48"/>
      <c r="C11" s="342" t="s">
        <v>0</v>
      </c>
      <c r="D11" s="340"/>
      <c r="E11" s="340"/>
      <c r="F11" s="340"/>
      <c r="G11" s="340"/>
      <c r="H11" s="341"/>
      <c r="I11" s="1"/>
    </row>
    <row r="12" spans="2:9" x14ac:dyDescent="0.25">
      <c r="B12" s="48"/>
      <c r="C12" s="343"/>
      <c r="D12" s="344"/>
      <c r="E12" s="344"/>
      <c r="F12" s="344"/>
      <c r="G12" s="344"/>
      <c r="H12" s="345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53"/>
      <c r="D14" s="32" t="s">
        <v>2</v>
      </c>
      <c r="E14" s="346" t="s">
        <v>1</v>
      </c>
      <c r="F14" s="346"/>
      <c r="G14" s="252"/>
      <c r="H14" s="252"/>
      <c r="I14" s="2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4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2:19" ht="15" customHeight="1" x14ac:dyDescent="0.25">
      <c r="B18" s="249"/>
      <c r="C18" s="255" t="s">
        <v>1159</v>
      </c>
      <c r="D18" s="249"/>
      <c r="E18" s="249"/>
      <c r="F18" s="249"/>
      <c r="G18" s="249"/>
      <c r="H18" s="257">
        <v>0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2:19" ht="3" customHeight="1" x14ac:dyDescent="0.25">
      <c r="B19" s="249"/>
      <c r="C19" s="255"/>
      <c r="D19" s="249"/>
      <c r="E19" s="249"/>
      <c r="F19" s="249"/>
      <c r="G19" s="249"/>
      <c r="H19" s="249">
        <v>6</v>
      </c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2:19" ht="6" customHeight="1" x14ac:dyDescent="0.25">
      <c r="B20" s="249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49"/>
    </row>
    <row r="21" spans="2:19" ht="15" customHeight="1" x14ac:dyDescent="0.25">
      <c r="B21" s="249"/>
      <c r="C21" s="258" t="s">
        <v>1160</v>
      </c>
      <c r="D21" s="258" t="s">
        <v>1161</v>
      </c>
      <c r="E21" s="258" t="s">
        <v>1162</v>
      </c>
      <c r="F21" s="258" t="s">
        <v>1163</v>
      </c>
      <c r="G21" s="258" t="s">
        <v>1164</v>
      </c>
      <c r="H21" s="258" t="s">
        <v>1165</v>
      </c>
      <c r="I21" s="258" t="s">
        <v>1166</v>
      </c>
      <c r="J21" s="258" t="s">
        <v>1167</v>
      </c>
      <c r="K21" s="258" t="s">
        <v>1168</v>
      </c>
      <c r="L21" s="258" t="s">
        <v>1169</v>
      </c>
      <c r="M21" s="258" t="s">
        <v>1170</v>
      </c>
      <c r="N21" s="258" t="s">
        <v>1171</v>
      </c>
      <c r="O21" s="258" t="s">
        <v>1172</v>
      </c>
      <c r="P21" s="258" t="s">
        <v>1173</v>
      </c>
      <c r="Q21" s="258" t="s">
        <v>1174</v>
      </c>
      <c r="R21" s="258" t="s">
        <v>1175</v>
      </c>
      <c r="S21" s="249"/>
    </row>
    <row r="22" spans="2:19" ht="15" customHeight="1" x14ac:dyDescent="0.25">
      <c r="B22" s="249"/>
      <c r="C22" s="249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2:19" ht="15" customHeight="1" x14ac:dyDescent="0.25"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2:19" ht="15" customHeight="1" x14ac:dyDescent="0.25"/>
  </sheetData>
  <sheetProtection algorithmName="SHA-512" hashValue="pIn1RTa5jtqpANlENLimnLnU8WirF6SRchXO470PBckmsdYugXqqBkzu9ClNGsZCdrI5MvorQ4x4hWHHw6cqGQ==" saltValue="a3ot9pBRqW1Om+ETIGG1gQ==" spinCount="100000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77" r:id="rId4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4" name="CheckBox16"/>
      </mc:Fallback>
    </mc:AlternateContent>
    <mc:AlternateContent xmlns:mc="http://schemas.openxmlformats.org/markup-compatibility/2006">
      <mc:Choice Requires="x14">
        <control shapeId="10276" r:id="rId6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6" name="CheckBox15"/>
      </mc:Fallback>
    </mc:AlternateContent>
    <mc:AlternateContent xmlns:mc="http://schemas.openxmlformats.org/markup-compatibility/2006">
      <mc:Choice Requires="x14">
        <control shapeId="10275" r:id="rId7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7" name="CheckBox14"/>
      </mc:Fallback>
    </mc:AlternateContent>
    <mc:AlternateContent xmlns:mc="http://schemas.openxmlformats.org/markup-compatibility/2006">
      <mc:Choice Requires="x14">
        <control shapeId="10274" r:id="rId8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8" name="CheckBox13"/>
      </mc:Fallback>
    </mc:AlternateContent>
    <mc:AlternateContent xmlns:mc="http://schemas.openxmlformats.org/markup-compatibility/2006">
      <mc:Choice Requires="x14">
        <control shapeId="10273" r:id="rId9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9" name="CheckBox12"/>
      </mc:Fallback>
    </mc:AlternateContent>
    <mc:AlternateContent xmlns:mc="http://schemas.openxmlformats.org/markup-compatibility/2006">
      <mc:Choice Requires="x14">
        <control shapeId="10272" r:id="rId10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0" name="CheckBox11"/>
      </mc:Fallback>
    </mc:AlternateContent>
    <mc:AlternateContent xmlns:mc="http://schemas.openxmlformats.org/markup-compatibility/2006">
      <mc:Choice Requires="x14">
        <control shapeId="10271" r:id="rId11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1" name="CheckBox10"/>
      </mc:Fallback>
    </mc:AlternateContent>
    <mc:AlternateContent xmlns:mc="http://schemas.openxmlformats.org/markup-compatibility/2006">
      <mc:Choice Requires="x14">
        <control shapeId="10270" r:id="rId12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2" name="CheckBox9"/>
      </mc:Fallback>
    </mc:AlternateContent>
    <mc:AlternateContent xmlns:mc="http://schemas.openxmlformats.org/markup-compatibility/2006">
      <mc:Choice Requires="x14">
        <control shapeId="10269" r:id="rId13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3" name="CheckBox8"/>
      </mc:Fallback>
    </mc:AlternateContent>
    <mc:AlternateContent xmlns:mc="http://schemas.openxmlformats.org/markup-compatibility/2006">
      <mc:Choice Requires="x14">
        <control shapeId="10268" r:id="rId14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4" name="CheckBox7"/>
      </mc:Fallback>
    </mc:AlternateContent>
    <mc:AlternateContent xmlns:mc="http://schemas.openxmlformats.org/markup-compatibility/2006">
      <mc:Choice Requires="x14">
        <control shapeId="10267" r:id="rId15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5" name="CheckBox6"/>
      </mc:Fallback>
    </mc:AlternateContent>
    <mc:AlternateContent xmlns:mc="http://schemas.openxmlformats.org/markup-compatibility/2006">
      <mc:Choice Requires="x14">
        <control shapeId="10266" r:id="rId16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16" name="CheckBox5"/>
      </mc:Fallback>
    </mc:AlternateContent>
    <mc:AlternateContent xmlns:mc="http://schemas.openxmlformats.org/markup-compatibility/2006">
      <mc:Choice Requires="x14">
        <control shapeId="10265" r:id="rId17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17" name="CheckBox4"/>
      </mc:Fallback>
    </mc:AlternateContent>
    <mc:AlternateContent xmlns:mc="http://schemas.openxmlformats.org/markup-compatibility/2006">
      <mc:Choice Requires="x14">
        <control shapeId="10264" r:id="rId18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18" name="CheckBox3"/>
      </mc:Fallback>
    </mc:AlternateContent>
    <mc:AlternateContent xmlns:mc="http://schemas.openxmlformats.org/markup-compatibility/2006">
      <mc:Choice Requires="x14">
        <control shapeId="10263" r:id="rId19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19" name="CheckBox1"/>
      </mc:Fallback>
    </mc:AlternateContent>
    <mc:AlternateContent xmlns:mc="http://schemas.openxmlformats.org/markup-compatibility/2006">
      <mc:Choice Requires="x14">
        <control shapeId="10262" r:id="rId20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20" name="CheckBox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P24" sqref="P24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324" t="s">
        <v>45</v>
      </c>
      <c r="D3" s="325"/>
      <c r="E3" s="325"/>
      <c r="F3" s="326"/>
      <c r="G3" s="347"/>
      <c r="H3" s="22"/>
    </row>
    <row r="4" spans="2:8" x14ac:dyDescent="0.25">
      <c r="B4" s="48"/>
      <c r="C4" s="327"/>
      <c r="D4" s="326"/>
      <c r="E4" s="326"/>
      <c r="F4" s="326"/>
      <c r="G4" s="347"/>
      <c r="H4" s="22"/>
    </row>
    <row r="5" spans="2:8" x14ac:dyDescent="0.25">
      <c r="B5" s="48"/>
      <c r="C5" s="327"/>
      <c r="D5" s="326"/>
      <c r="E5" s="326"/>
      <c r="F5" s="326"/>
      <c r="G5" s="347"/>
      <c r="H5" s="22"/>
    </row>
    <row r="6" spans="2:8" x14ac:dyDescent="0.25">
      <c r="B6" s="48"/>
      <c r="C6" s="327"/>
      <c r="D6" s="326"/>
      <c r="E6" s="326"/>
      <c r="F6" s="326"/>
      <c r="G6" s="347"/>
      <c r="H6" s="22"/>
    </row>
    <row r="7" spans="2:8" x14ac:dyDescent="0.25">
      <c r="B7" s="48"/>
      <c r="C7" s="327"/>
      <c r="D7" s="326"/>
      <c r="E7" s="326"/>
      <c r="F7" s="326"/>
      <c r="G7" s="347"/>
      <c r="H7" s="22"/>
    </row>
    <row r="8" spans="2:8" x14ac:dyDescent="0.25">
      <c r="B8" s="58"/>
      <c r="C8" s="327"/>
      <c r="D8" s="326"/>
      <c r="E8" s="326"/>
      <c r="F8" s="326"/>
      <c r="G8" s="347"/>
      <c r="H8" s="1"/>
    </row>
    <row r="9" spans="2:8" x14ac:dyDescent="0.25">
      <c r="B9" s="58"/>
      <c r="C9" s="327"/>
      <c r="D9" s="326"/>
      <c r="E9" s="326"/>
      <c r="F9" s="326"/>
      <c r="G9" s="347"/>
      <c r="H9" s="1"/>
    </row>
    <row r="10" spans="2:8" x14ac:dyDescent="0.25">
      <c r="B10" s="1"/>
      <c r="C10" s="327"/>
      <c r="D10" s="326"/>
      <c r="E10" s="326"/>
      <c r="F10" s="326"/>
      <c r="G10" s="347"/>
      <c r="H10" s="1"/>
    </row>
    <row r="11" spans="2:8" x14ac:dyDescent="0.25">
      <c r="B11" s="48"/>
      <c r="C11" s="328" t="s">
        <v>0</v>
      </c>
      <c r="D11" s="326"/>
      <c r="E11" s="326"/>
      <c r="F11" s="326"/>
      <c r="G11" s="347"/>
      <c r="H11" s="1"/>
    </row>
    <row r="12" spans="2:8" x14ac:dyDescent="0.25">
      <c r="B12" s="48"/>
      <c r="C12" s="327"/>
      <c r="D12" s="325"/>
      <c r="E12" s="325"/>
      <c r="F12" s="326"/>
      <c r="G12" s="347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algorithmName="SHA-512" hashValue="8Cyk3NLQr5QrSChueANkyIpIkvM7OvRnmWFZrao4zgnZtAD0zxVFtMfwc9yRvRjRHYp2/6Mtv4NP4kXdaaFOJg==" saltValue="4rTn5FNzSeq9pAQ9WCvxUQ==" spinCount="100000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L12" sqref="L12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6" t="s">
        <v>1147</v>
      </c>
      <c r="D3" s="337"/>
      <c r="E3" s="337"/>
      <c r="F3" s="337"/>
      <c r="G3" s="337"/>
      <c r="H3" s="338"/>
      <c r="I3" s="22"/>
    </row>
    <row r="4" spans="2:9" x14ac:dyDescent="0.25">
      <c r="B4" s="48"/>
      <c r="C4" s="339"/>
      <c r="D4" s="340"/>
      <c r="E4" s="340"/>
      <c r="F4" s="340"/>
      <c r="G4" s="340"/>
      <c r="H4" s="341"/>
      <c r="I4" s="22"/>
    </row>
    <row r="5" spans="2:9" x14ac:dyDescent="0.25">
      <c r="B5" s="48"/>
      <c r="C5" s="339"/>
      <c r="D5" s="340"/>
      <c r="E5" s="340"/>
      <c r="F5" s="340"/>
      <c r="G5" s="340"/>
      <c r="H5" s="341"/>
      <c r="I5" s="22"/>
    </row>
    <row r="6" spans="2:9" x14ac:dyDescent="0.25">
      <c r="B6" s="48"/>
      <c r="C6" s="339"/>
      <c r="D6" s="340"/>
      <c r="E6" s="340"/>
      <c r="F6" s="340"/>
      <c r="G6" s="340"/>
      <c r="H6" s="341"/>
      <c r="I6" s="22"/>
    </row>
    <row r="7" spans="2:9" x14ac:dyDescent="0.25">
      <c r="B7" s="48"/>
      <c r="C7" s="339"/>
      <c r="D7" s="340"/>
      <c r="E7" s="340"/>
      <c r="F7" s="340"/>
      <c r="G7" s="340"/>
      <c r="H7" s="341"/>
      <c r="I7" s="22"/>
    </row>
    <row r="8" spans="2:9" x14ac:dyDescent="0.25">
      <c r="B8" s="58"/>
      <c r="C8" s="339"/>
      <c r="D8" s="340"/>
      <c r="E8" s="340"/>
      <c r="F8" s="340"/>
      <c r="G8" s="340"/>
      <c r="H8" s="341"/>
      <c r="I8" s="1"/>
    </row>
    <row r="9" spans="2:9" x14ac:dyDescent="0.25">
      <c r="B9" s="58"/>
      <c r="C9" s="339"/>
      <c r="D9" s="340"/>
      <c r="E9" s="340"/>
      <c r="F9" s="340"/>
      <c r="G9" s="340"/>
      <c r="H9" s="341"/>
      <c r="I9" s="1"/>
    </row>
    <row r="10" spans="2:9" x14ac:dyDescent="0.25">
      <c r="B10" s="1"/>
      <c r="C10" s="339"/>
      <c r="D10" s="340"/>
      <c r="E10" s="340"/>
      <c r="F10" s="340"/>
      <c r="G10" s="340"/>
      <c r="H10" s="341"/>
      <c r="I10" s="1"/>
    </row>
    <row r="11" spans="2:9" x14ac:dyDescent="0.25">
      <c r="B11" s="48"/>
      <c r="C11" s="342" t="s">
        <v>0</v>
      </c>
      <c r="D11" s="340"/>
      <c r="E11" s="340"/>
      <c r="F11" s="340"/>
      <c r="G11" s="340"/>
      <c r="H11" s="341"/>
      <c r="I11" s="1"/>
    </row>
    <row r="12" spans="2:9" x14ac:dyDescent="0.25">
      <c r="B12" s="48"/>
      <c r="C12" s="343"/>
      <c r="D12" s="344"/>
      <c r="E12" s="344"/>
      <c r="F12" s="344"/>
      <c r="G12" s="344"/>
      <c r="H12" s="345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46" t="s">
        <v>1</v>
      </c>
      <c r="F14" s="346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348" t="s">
        <v>43</v>
      </c>
      <c r="C18" s="353"/>
      <c r="D18" s="354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348" t="s">
        <v>42</v>
      </c>
      <c r="F20" s="352"/>
      <c r="G20" s="352"/>
      <c r="H20" s="177">
        <v>373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348" t="s">
        <v>1002</v>
      </c>
      <c r="C22" s="355"/>
      <c r="D22" s="355"/>
      <c r="E22" s="251" t="s">
        <v>1148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49"/>
      <c r="G23" s="249"/>
      <c r="H23" s="249"/>
      <c r="I23" s="153"/>
    </row>
    <row r="24" spans="2:9" x14ac:dyDescent="0.25">
      <c r="B24" s="356" t="s">
        <v>1144</v>
      </c>
      <c r="C24" s="357"/>
      <c r="D24" s="248">
        <v>298.58999999999997</v>
      </c>
      <c r="E24" s="356" t="s">
        <v>1145</v>
      </c>
      <c r="F24" s="357"/>
      <c r="G24" s="358">
        <v>0.10478</v>
      </c>
      <c r="H24" s="359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348" t="s">
        <v>41</v>
      </c>
      <c r="C26" s="349"/>
      <c r="D26" s="350" t="e">
        <f>IF(D20="Gas",(50.2624*E18/H18*0.001)/(H20*SQRT(E22/3)*0.684),(67.7104*E18/H18*0.001)/(H20*SQRT(E22/3)*0.684))</f>
        <v>#VALUE!</v>
      </c>
      <c r="E26" s="351"/>
      <c r="F26" s="356" t="s">
        <v>1146</v>
      </c>
      <c r="G26" s="357"/>
      <c r="H26" s="250" t="e">
        <f>D24+(D24*(100-(D26 * 100 / G24))/100)</f>
        <v>#VALUE!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algorithmName="SHA-512" hashValue="divSMeizPecNG0EZjvCg8FSGfX+s0A2AS/7mXZOy7KEHgnkB956Zg2Itr+ke+rbXUUOX2r2yzqq17z7NPtBnqQ==" saltValue="Ci68GZFgBkqGv10ls9BQUQ==" spinCount="100000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9"/>
  <sheetViews>
    <sheetView showRowColHeaders="0"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68" t="s">
        <v>1180</v>
      </c>
      <c r="Q2" s="368"/>
      <c r="R2" s="368"/>
      <c r="S2" s="1"/>
    </row>
    <row r="3" spans="6:19" x14ac:dyDescent="0.25">
      <c r="F3" s="48"/>
      <c r="G3" s="336" t="s">
        <v>1179</v>
      </c>
      <c r="H3" s="337"/>
      <c r="I3" s="337"/>
      <c r="J3" s="337"/>
      <c r="K3" s="337"/>
      <c r="L3" s="338"/>
      <c r="M3" s="22"/>
      <c r="O3" s="1"/>
      <c r="P3" s="368"/>
      <c r="Q3" s="368"/>
      <c r="R3" s="368"/>
      <c r="S3" s="1"/>
    </row>
    <row r="4" spans="6:19" x14ac:dyDescent="0.25">
      <c r="F4" s="48"/>
      <c r="G4" s="339"/>
      <c r="H4" s="340"/>
      <c r="I4" s="340"/>
      <c r="J4" s="340"/>
      <c r="K4" s="340"/>
      <c r="L4" s="341"/>
      <c r="M4" s="22"/>
      <c r="O4" s="369" t="s">
        <v>1181</v>
      </c>
      <c r="P4" s="369"/>
      <c r="Q4" s="369"/>
      <c r="R4" s="369"/>
      <c r="S4" s="369"/>
    </row>
    <row r="5" spans="6:19" ht="15" customHeight="1" x14ac:dyDescent="0.25">
      <c r="F5" s="48"/>
      <c r="G5" s="339"/>
      <c r="H5" s="340"/>
      <c r="I5" s="340"/>
      <c r="J5" s="340"/>
      <c r="K5" s="340"/>
      <c r="L5" s="341"/>
      <c r="M5" s="22"/>
      <c r="O5" s="369"/>
      <c r="P5" s="369"/>
      <c r="Q5" s="369"/>
      <c r="R5" s="369"/>
      <c r="S5" s="369"/>
    </row>
    <row r="6" spans="6:19" x14ac:dyDescent="0.25">
      <c r="F6" s="48"/>
      <c r="G6" s="339"/>
      <c r="H6" s="340"/>
      <c r="I6" s="340"/>
      <c r="J6" s="340"/>
      <c r="K6" s="340"/>
      <c r="L6" s="341"/>
      <c r="M6" s="22"/>
      <c r="O6" s="369"/>
      <c r="P6" s="369"/>
      <c r="Q6" s="369"/>
      <c r="R6" s="369"/>
      <c r="S6" s="369"/>
    </row>
    <row r="7" spans="6:19" x14ac:dyDescent="0.25">
      <c r="F7" s="48"/>
      <c r="G7" s="339"/>
      <c r="H7" s="340"/>
      <c r="I7" s="340"/>
      <c r="J7" s="340"/>
      <c r="K7" s="340"/>
      <c r="L7" s="341"/>
      <c r="M7" s="22"/>
      <c r="O7" s="1"/>
      <c r="P7" s="1"/>
      <c r="Q7" s="1"/>
      <c r="R7" s="1"/>
      <c r="S7" s="1"/>
    </row>
    <row r="8" spans="6:19" x14ac:dyDescent="0.25">
      <c r="F8" s="58"/>
      <c r="G8" s="339"/>
      <c r="H8" s="340"/>
      <c r="I8" s="340"/>
      <c r="J8" s="340"/>
      <c r="K8" s="340"/>
      <c r="L8" s="341"/>
      <c r="M8" s="1"/>
      <c r="O8" s="329" t="s">
        <v>1010</v>
      </c>
      <c r="P8" s="366"/>
      <c r="Q8" s="365"/>
      <c r="R8" s="365"/>
      <c r="S8" s="1"/>
    </row>
    <row r="9" spans="6:19" x14ac:dyDescent="0.25">
      <c r="F9" s="58"/>
      <c r="G9" s="339"/>
      <c r="H9" s="340"/>
      <c r="I9" s="340"/>
      <c r="J9" s="340"/>
      <c r="K9" s="340"/>
      <c r="L9" s="341"/>
      <c r="M9" s="1"/>
      <c r="O9" s="1"/>
      <c r="P9" s="1"/>
      <c r="Q9" s="1"/>
      <c r="R9" s="1"/>
      <c r="S9" s="1"/>
    </row>
    <row r="10" spans="6:19" x14ac:dyDescent="0.25">
      <c r="F10" s="1"/>
      <c r="G10" s="339"/>
      <c r="H10" s="340"/>
      <c r="I10" s="340"/>
      <c r="J10" s="340"/>
      <c r="K10" s="340"/>
      <c r="L10" s="341"/>
      <c r="M10" s="1"/>
      <c r="O10" s="329" t="s">
        <v>1014</v>
      </c>
      <c r="P10" s="366"/>
      <c r="Q10" s="354"/>
      <c r="R10" s="215">
        <v>120</v>
      </c>
      <c r="S10" s="214" t="s">
        <v>30</v>
      </c>
    </row>
    <row r="11" spans="6:19" x14ac:dyDescent="0.25">
      <c r="F11" s="48"/>
      <c r="G11" s="342" t="s">
        <v>0</v>
      </c>
      <c r="H11" s="340"/>
      <c r="I11" s="340"/>
      <c r="J11" s="340"/>
      <c r="K11" s="340"/>
      <c r="L11" s="341"/>
      <c r="M11" s="1"/>
      <c r="O11" s="1"/>
      <c r="P11" s="1"/>
      <c r="Q11" s="1"/>
      <c r="R11" s="1"/>
      <c r="S11" s="1"/>
    </row>
    <row r="12" spans="6:19" x14ac:dyDescent="0.25">
      <c r="F12" s="48"/>
      <c r="G12" s="343"/>
      <c r="H12" s="344"/>
      <c r="I12" s="344"/>
      <c r="J12" s="344"/>
      <c r="K12" s="344"/>
      <c r="L12" s="345"/>
      <c r="M12" s="22"/>
      <c r="O12" s="329" t="s">
        <v>1015</v>
      </c>
      <c r="P12" s="366"/>
      <c r="Q12" s="367"/>
      <c r="R12" s="215">
        <v>0.2</v>
      </c>
      <c r="S12" s="214" t="s">
        <v>1013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46" t="s">
        <v>1</v>
      </c>
      <c r="J14" s="346"/>
      <c r="K14" s="212"/>
      <c r="L14" s="212"/>
      <c r="M14" s="212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60" t="s">
        <v>1177</v>
      </c>
      <c r="C17" s="361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361"/>
      <c r="P17" s="361"/>
      <c r="Q17" s="361"/>
      <c r="R17" s="361"/>
      <c r="S17" s="361"/>
      <c r="T17" s="361"/>
    </row>
    <row r="18" spans="2:20" ht="30.75" customHeight="1" thickTop="1" thickBot="1" x14ac:dyDescent="0.3">
      <c r="B18" s="1"/>
      <c r="C18" s="80" t="s">
        <v>1011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71">
        <v>1.2</v>
      </c>
      <c r="D19" s="259">
        <v>1</v>
      </c>
      <c r="E19" s="261">
        <v>1</v>
      </c>
      <c r="F19" s="261">
        <v>1</v>
      </c>
      <c r="G19" s="261">
        <v>1</v>
      </c>
      <c r="H19" s="261">
        <v>1</v>
      </c>
      <c r="I19" s="261">
        <v>1</v>
      </c>
      <c r="J19" s="261">
        <v>1</v>
      </c>
      <c r="K19" s="261">
        <v>1</v>
      </c>
      <c r="L19" s="261">
        <v>1</v>
      </c>
      <c r="M19" s="261">
        <v>1</v>
      </c>
      <c r="N19" s="261">
        <v>1</v>
      </c>
      <c r="O19" s="261">
        <v>1</v>
      </c>
      <c r="P19" s="261">
        <v>1</v>
      </c>
      <c r="Q19" s="261">
        <v>1</v>
      </c>
      <c r="R19" s="261">
        <v>1</v>
      </c>
      <c r="S19" s="262">
        <v>1</v>
      </c>
      <c r="T19" s="13"/>
    </row>
    <row r="20" spans="2:20" x14ac:dyDescent="0.25">
      <c r="B20" s="1"/>
      <c r="C20" s="272">
        <v>1.5</v>
      </c>
      <c r="D20" s="263">
        <v>1</v>
      </c>
      <c r="E20" s="260">
        <v>1</v>
      </c>
      <c r="F20" s="260">
        <v>1</v>
      </c>
      <c r="G20" s="260">
        <v>1</v>
      </c>
      <c r="H20" s="260">
        <v>1</v>
      </c>
      <c r="I20" s="260">
        <v>1</v>
      </c>
      <c r="J20" s="260">
        <v>1</v>
      </c>
      <c r="K20" s="260">
        <v>1</v>
      </c>
      <c r="L20" s="260">
        <v>1</v>
      </c>
      <c r="M20" s="260">
        <v>1</v>
      </c>
      <c r="N20" s="260">
        <v>1</v>
      </c>
      <c r="O20" s="260">
        <v>1</v>
      </c>
      <c r="P20" s="260">
        <v>1</v>
      </c>
      <c r="Q20" s="260">
        <v>1</v>
      </c>
      <c r="R20" s="260">
        <v>1</v>
      </c>
      <c r="S20" s="264">
        <v>1</v>
      </c>
      <c r="T20" s="13"/>
    </row>
    <row r="21" spans="2:20" x14ac:dyDescent="0.25">
      <c r="B21" s="1"/>
      <c r="C21" s="272">
        <v>2</v>
      </c>
      <c r="D21" s="263">
        <v>1</v>
      </c>
      <c r="E21" s="260">
        <v>1</v>
      </c>
      <c r="F21" s="260">
        <v>1</v>
      </c>
      <c r="G21" s="260">
        <v>1</v>
      </c>
      <c r="H21" s="260">
        <v>1</v>
      </c>
      <c r="I21" s="260">
        <v>1</v>
      </c>
      <c r="J21" s="260">
        <v>1</v>
      </c>
      <c r="K21" s="260">
        <v>1</v>
      </c>
      <c r="L21" s="260">
        <v>1</v>
      </c>
      <c r="M21" s="260">
        <v>1</v>
      </c>
      <c r="N21" s="260">
        <v>1</v>
      </c>
      <c r="O21" s="260">
        <v>1</v>
      </c>
      <c r="P21" s="260">
        <v>1</v>
      </c>
      <c r="Q21" s="260">
        <v>1</v>
      </c>
      <c r="R21" s="260">
        <v>1</v>
      </c>
      <c r="S21" s="264">
        <v>1</v>
      </c>
      <c r="T21" s="13"/>
    </row>
    <row r="22" spans="2:20" x14ac:dyDescent="0.25">
      <c r="B22" s="1"/>
      <c r="C22" s="272">
        <v>2.5</v>
      </c>
      <c r="D22" s="263">
        <v>1</v>
      </c>
      <c r="E22" s="260">
        <v>1</v>
      </c>
      <c r="F22" s="260">
        <v>1</v>
      </c>
      <c r="G22" s="260">
        <v>1</v>
      </c>
      <c r="H22" s="260">
        <v>1</v>
      </c>
      <c r="I22" s="260">
        <v>1</v>
      </c>
      <c r="J22" s="260">
        <v>1</v>
      </c>
      <c r="K22" s="260">
        <v>1</v>
      </c>
      <c r="L22" s="260">
        <v>1</v>
      </c>
      <c r="M22" s="260">
        <v>1</v>
      </c>
      <c r="N22" s="260">
        <v>1</v>
      </c>
      <c r="O22" s="260">
        <v>1</v>
      </c>
      <c r="P22" s="260">
        <v>1</v>
      </c>
      <c r="Q22" s="260">
        <v>1</v>
      </c>
      <c r="R22" s="260">
        <v>1</v>
      </c>
      <c r="S22" s="264">
        <v>1</v>
      </c>
      <c r="T22" s="13"/>
    </row>
    <row r="23" spans="2:20" x14ac:dyDescent="0.25">
      <c r="B23" s="1"/>
      <c r="C23" s="272">
        <v>3</v>
      </c>
      <c r="D23" s="263">
        <v>1</v>
      </c>
      <c r="E23" s="260">
        <v>1</v>
      </c>
      <c r="F23" s="260">
        <v>1</v>
      </c>
      <c r="G23" s="260">
        <v>1</v>
      </c>
      <c r="H23" s="260">
        <v>1</v>
      </c>
      <c r="I23" s="260">
        <v>1</v>
      </c>
      <c r="J23" s="260">
        <v>1</v>
      </c>
      <c r="K23" s="260">
        <v>1</v>
      </c>
      <c r="L23" s="260">
        <v>1</v>
      </c>
      <c r="M23" s="260">
        <v>1</v>
      </c>
      <c r="N23" s="260">
        <v>1</v>
      </c>
      <c r="O23" s="260">
        <v>1</v>
      </c>
      <c r="P23" s="260">
        <v>1</v>
      </c>
      <c r="Q23" s="260">
        <v>1</v>
      </c>
      <c r="R23" s="260">
        <v>1</v>
      </c>
      <c r="S23" s="264">
        <v>1</v>
      </c>
      <c r="T23" s="13"/>
    </row>
    <row r="24" spans="2:20" x14ac:dyDescent="0.25">
      <c r="B24" s="1"/>
      <c r="C24" s="272">
        <v>4</v>
      </c>
      <c r="D24" s="263">
        <v>1</v>
      </c>
      <c r="E24" s="260">
        <v>1</v>
      </c>
      <c r="F24" s="260">
        <v>1</v>
      </c>
      <c r="G24" s="260">
        <v>1</v>
      </c>
      <c r="H24" s="260">
        <v>1</v>
      </c>
      <c r="I24" s="260">
        <v>1</v>
      </c>
      <c r="J24" s="260">
        <v>1</v>
      </c>
      <c r="K24" s="260">
        <v>1</v>
      </c>
      <c r="L24" s="260">
        <v>1</v>
      </c>
      <c r="M24" s="260">
        <v>1</v>
      </c>
      <c r="N24" s="260">
        <v>1</v>
      </c>
      <c r="O24" s="260">
        <v>1</v>
      </c>
      <c r="P24" s="260">
        <v>1</v>
      </c>
      <c r="Q24" s="260">
        <v>1</v>
      </c>
      <c r="R24" s="260">
        <v>1</v>
      </c>
      <c r="S24" s="264">
        <v>1</v>
      </c>
      <c r="T24" s="13"/>
    </row>
    <row r="25" spans="2:20" x14ac:dyDescent="0.25">
      <c r="B25" s="1"/>
      <c r="C25" s="272">
        <v>5</v>
      </c>
      <c r="D25" s="263">
        <v>1</v>
      </c>
      <c r="E25" s="260">
        <v>1</v>
      </c>
      <c r="F25" s="260">
        <v>1</v>
      </c>
      <c r="G25" s="260">
        <v>1</v>
      </c>
      <c r="H25" s="260">
        <v>1</v>
      </c>
      <c r="I25" s="260">
        <v>1</v>
      </c>
      <c r="J25" s="260">
        <v>1</v>
      </c>
      <c r="K25" s="260">
        <v>1</v>
      </c>
      <c r="L25" s="260">
        <v>1</v>
      </c>
      <c r="M25" s="260">
        <v>1</v>
      </c>
      <c r="N25" s="260">
        <v>1</v>
      </c>
      <c r="O25" s="260">
        <v>1</v>
      </c>
      <c r="P25" s="260">
        <v>1</v>
      </c>
      <c r="Q25" s="260">
        <v>1</v>
      </c>
      <c r="R25" s="260">
        <v>1</v>
      </c>
      <c r="S25" s="264">
        <v>1</v>
      </c>
      <c r="T25" s="13"/>
    </row>
    <row r="26" spans="2:20" x14ac:dyDescent="0.25">
      <c r="B26" s="1"/>
      <c r="C26" s="272">
        <v>6</v>
      </c>
      <c r="D26" s="263">
        <v>1</v>
      </c>
      <c r="E26" s="260">
        <v>1</v>
      </c>
      <c r="F26" s="260">
        <v>1</v>
      </c>
      <c r="G26" s="260">
        <v>1</v>
      </c>
      <c r="H26" s="260">
        <v>1</v>
      </c>
      <c r="I26" s="260">
        <v>1</v>
      </c>
      <c r="J26" s="260">
        <v>1</v>
      </c>
      <c r="K26" s="260">
        <v>1</v>
      </c>
      <c r="L26" s="260">
        <v>1</v>
      </c>
      <c r="M26" s="260">
        <v>1</v>
      </c>
      <c r="N26" s="260">
        <v>1</v>
      </c>
      <c r="O26" s="260">
        <v>1</v>
      </c>
      <c r="P26" s="260">
        <v>1</v>
      </c>
      <c r="Q26" s="260">
        <v>1</v>
      </c>
      <c r="R26" s="260">
        <v>1</v>
      </c>
      <c r="S26" s="264">
        <v>1</v>
      </c>
      <c r="T26" s="13"/>
    </row>
    <row r="27" spans="2:20" x14ac:dyDescent="0.25">
      <c r="B27" s="1"/>
      <c r="C27" s="272">
        <v>7</v>
      </c>
      <c r="D27" s="263">
        <v>1</v>
      </c>
      <c r="E27" s="260">
        <v>1</v>
      </c>
      <c r="F27" s="260">
        <v>1</v>
      </c>
      <c r="G27" s="260">
        <v>1</v>
      </c>
      <c r="H27" s="260">
        <v>1</v>
      </c>
      <c r="I27" s="260">
        <v>1</v>
      </c>
      <c r="J27" s="260">
        <v>1</v>
      </c>
      <c r="K27" s="260">
        <v>1</v>
      </c>
      <c r="L27" s="260">
        <v>1</v>
      </c>
      <c r="M27" s="260">
        <v>1</v>
      </c>
      <c r="N27" s="260">
        <v>1</v>
      </c>
      <c r="O27" s="260">
        <v>1</v>
      </c>
      <c r="P27" s="260">
        <v>1</v>
      </c>
      <c r="Q27" s="260">
        <v>1</v>
      </c>
      <c r="R27" s="260">
        <v>1</v>
      </c>
      <c r="S27" s="264">
        <v>1</v>
      </c>
      <c r="T27" s="13"/>
    </row>
    <row r="28" spans="2:20" x14ac:dyDescent="0.25">
      <c r="B28" s="1"/>
      <c r="C28" s="272">
        <v>8</v>
      </c>
      <c r="D28" s="263">
        <v>1</v>
      </c>
      <c r="E28" s="260">
        <v>1</v>
      </c>
      <c r="F28" s="260">
        <v>1</v>
      </c>
      <c r="G28" s="260">
        <v>1</v>
      </c>
      <c r="H28" s="260">
        <v>1</v>
      </c>
      <c r="I28" s="260">
        <v>1</v>
      </c>
      <c r="J28" s="260">
        <v>1</v>
      </c>
      <c r="K28" s="260">
        <v>1</v>
      </c>
      <c r="L28" s="260">
        <v>1</v>
      </c>
      <c r="M28" s="260">
        <v>1</v>
      </c>
      <c r="N28" s="260">
        <v>1</v>
      </c>
      <c r="O28" s="260">
        <v>1</v>
      </c>
      <c r="P28" s="260">
        <v>1</v>
      </c>
      <c r="Q28" s="260">
        <v>1</v>
      </c>
      <c r="R28" s="260">
        <v>1</v>
      </c>
      <c r="S28" s="264">
        <v>1</v>
      </c>
      <c r="T28" s="13"/>
    </row>
    <row r="29" spans="2:20" x14ac:dyDescent="0.25">
      <c r="B29" s="1"/>
      <c r="C29" s="272">
        <v>9</v>
      </c>
      <c r="D29" s="263">
        <v>1</v>
      </c>
      <c r="E29" s="260">
        <v>1</v>
      </c>
      <c r="F29" s="260">
        <v>1</v>
      </c>
      <c r="G29" s="260">
        <v>1</v>
      </c>
      <c r="H29" s="260">
        <v>1</v>
      </c>
      <c r="I29" s="260">
        <v>1</v>
      </c>
      <c r="J29" s="260">
        <v>1</v>
      </c>
      <c r="K29" s="260">
        <v>1</v>
      </c>
      <c r="L29" s="260">
        <v>1</v>
      </c>
      <c r="M29" s="260">
        <v>1</v>
      </c>
      <c r="N29" s="260">
        <v>1</v>
      </c>
      <c r="O29" s="260">
        <v>1</v>
      </c>
      <c r="P29" s="260">
        <v>1</v>
      </c>
      <c r="Q29" s="260">
        <v>1</v>
      </c>
      <c r="R29" s="260">
        <v>1</v>
      </c>
      <c r="S29" s="264">
        <v>1</v>
      </c>
      <c r="T29" s="13"/>
    </row>
    <row r="30" spans="2:20" x14ac:dyDescent="0.25">
      <c r="B30" s="1"/>
      <c r="C30" s="272">
        <v>10</v>
      </c>
      <c r="D30" s="263">
        <v>1</v>
      </c>
      <c r="E30" s="260">
        <v>1</v>
      </c>
      <c r="F30" s="260">
        <v>1</v>
      </c>
      <c r="G30" s="260">
        <v>1</v>
      </c>
      <c r="H30" s="260">
        <v>1</v>
      </c>
      <c r="I30" s="260">
        <v>1</v>
      </c>
      <c r="J30" s="260">
        <v>1</v>
      </c>
      <c r="K30" s="260">
        <v>1</v>
      </c>
      <c r="L30" s="260">
        <v>1</v>
      </c>
      <c r="M30" s="260">
        <v>1</v>
      </c>
      <c r="N30" s="260">
        <v>1</v>
      </c>
      <c r="O30" s="260">
        <v>1</v>
      </c>
      <c r="P30" s="260">
        <v>1</v>
      </c>
      <c r="Q30" s="260">
        <v>1</v>
      </c>
      <c r="R30" s="260">
        <v>1</v>
      </c>
      <c r="S30" s="264">
        <v>1</v>
      </c>
      <c r="T30" s="13"/>
    </row>
    <row r="31" spans="2:20" x14ac:dyDescent="0.25">
      <c r="B31" s="1"/>
      <c r="C31" s="272">
        <v>12</v>
      </c>
      <c r="D31" s="263">
        <v>1</v>
      </c>
      <c r="E31" s="260">
        <v>1</v>
      </c>
      <c r="F31" s="260">
        <v>1</v>
      </c>
      <c r="G31" s="260">
        <v>1</v>
      </c>
      <c r="H31" s="260">
        <v>1</v>
      </c>
      <c r="I31" s="260">
        <v>1</v>
      </c>
      <c r="J31" s="260">
        <v>1</v>
      </c>
      <c r="K31" s="260">
        <v>1</v>
      </c>
      <c r="L31" s="260">
        <v>1</v>
      </c>
      <c r="M31" s="260">
        <v>1</v>
      </c>
      <c r="N31" s="260">
        <v>1</v>
      </c>
      <c r="O31" s="260">
        <v>1</v>
      </c>
      <c r="P31" s="260">
        <v>1</v>
      </c>
      <c r="Q31" s="260">
        <v>1</v>
      </c>
      <c r="R31" s="260">
        <v>1</v>
      </c>
      <c r="S31" s="264">
        <v>1</v>
      </c>
      <c r="T31" s="13"/>
    </row>
    <row r="32" spans="2:20" x14ac:dyDescent="0.25">
      <c r="B32" s="1"/>
      <c r="C32" s="272">
        <v>14</v>
      </c>
      <c r="D32" s="263">
        <v>1</v>
      </c>
      <c r="E32" s="260">
        <v>1</v>
      </c>
      <c r="F32" s="260">
        <v>1</v>
      </c>
      <c r="G32" s="260">
        <v>1</v>
      </c>
      <c r="H32" s="260">
        <v>1</v>
      </c>
      <c r="I32" s="260">
        <v>1</v>
      </c>
      <c r="J32" s="260">
        <v>1</v>
      </c>
      <c r="K32" s="260">
        <v>1</v>
      </c>
      <c r="L32" s="260">
        <v>1</v>
      </c>
      <c r="M32" s="260">
        <v>1</v>
      </c>
      <c r="N32" s="260">
        <v>1</v>
      </c>
      <c r="O32" s="260">
        <v>1</v>
      </c>
      <c r="P32" s="260">
        <v>1</v>
      </c>
      <c r="Q32" s="260">
        <v>1</v>
      </c>
      <c r="R32" s="260">
        <v>1</v>
      </c>
      <c r="S32" s="264">
        <v>1</v>
      </c>
      <c r="T32" s="13"/>
    </row>
    <row r="33" spans="2:20" x14ac:dyDescent="0.25">
      <c r="B33" s="1"/>
      <c r="C33" s="272">
        <v>17</v>
      </c>
      <c r="D33" s="263">
        <v>1</v>
      </c>
      <c r="E33" s="260">
        <v>1</v>
      </c>
      <c r="F33" s="260">
        <v>1</v>
      </c>
      <c r="G33" s="260">
        <v>1</v>
      </c>
      <c r="H33" s="260">
        <v>1</v>
      </c>
      <c r="I33" s="260">
        <v>1</v>
      </c>
      <c r="J33" s="260">
        <v>1</v>
      </c>
      <c r="K33" s="260">
        <v>1</v>
      </c>
      <c r="L33" s="260">
        <v>1</v>
      </c>
      <c r="M33" s="260">
        <v>1</v>
      </c>
      <c r="N33" s="260">
        <v>1</v>
      </c>
      <c r="O33" s="260">
        <v>1</v>
      </c>
      <c r="P33" s="260">
        <v>1</v>
      </c>
      <c r="Q33" s="260">
        <v>1</v>
      </c>
      <c r="R33" s="260">
        <v>1</v>
      </c>
      <c r="S33" s="264">
        <v>1</v>
      </c>
      <c r="T33" s="13"/>
    </row>
    <row r="34" spans="2:20" ht="15.75" thickBot="1" x14ac:dyDescent="0.3">
      <c r="B34" s="1"/>
      <c r="C34" s="273">
        <v>20</v>
      </c>
      <c r="D34" s="265">
        <v>1</v>
      </c>
      <c r="E34" s="266">
        <v>1</v>
      </c>
      <c r="F34" s="266">
        <v>1</v>
      </c>
      <c r="G34" s="266">
        <v>1</v>
      </c>
      <c r="H34" s="266">
        <v>1</v>
      </c>
      <c r="I34" s="266">
        <v>1</v>
      </c>
      <c r="J34" s="266">
        <v>1</v>
      </c>
      <c r="K34" s="266">
        <v>1</v>
      </c>
      <c r="L34" s="266">
        <v>1</v>
      </c>
      <c r="M34" s="266">
        <v>1</v>
      </c>
      <c r="N34" s="266">
        <v>1</v>
      </c>
      <c r="O34" s="266">
        <v>1</v>
      </c>
      <c r="P34" s="266">
        <v>1</v>
      </c>
      <c r="Q34" s="266">
        <v>1</v>
      </c>
      <c r="R34" s="266">
        <v>1</v>
      </c>
      <c r="S34" s="267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60" t="s">
        <v>1178</v>
      </c>
      <c r="C37" s="361"/>
      <c r="D37" s="361"/>
      <c r="E37" s="361"/>
      <c r="F37" s="361"/>
      <c r="G37" s="361"/>
      <c r="H37" s="361"/>
      <c r="I37" s="361"/>
      <c r="J37" s="361"/>
      <c r="K37" s="361"/>
      <c r="L37" s="361"/>
      <c r="M37" s="361"/>
      <c r="N37" s="361"/>
      <c r="O37" s="361"/>
      <c r="P37" s="361"/>
      <c r="Q37" s="361"/>
      <c r="R37" s="361"/>
      <c r="S37" s="361"/>
      <c r="T37" s="361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68">
        <f>C19</f>
        <v>1.2</v>
      </c>
      <c r="D39" s="216">
        <v>0.75</v>
      </c>
      <c r="E39" s="217">
        <v>0.80193746089935303</v>
      </c>
      <c r="F39" s="217">
        <v>0.86443746089935303</v>
      </c>
      <c r="G39" s="217">
        <v>0.91395306587219238</v>
      </c>
      <c r="H39" s="217">
        <v>0.94784373044967651</v>
      </c>
      <c r="I39" s="217">
        <v>0.96478903293609619</v>
      </c>
      <c r="J39" s="217">
        <v>0.97326171398162842</v>
      </c>
      <c r="K39" s="217">
        <v>0.98173439502716064</v>
      </c>
      <c r="L39" s="217">
        <v>0.98517930507659912</v>
      </c>
      <c r="M39" s="217">
        <v>0.99258965253829956</v>
      </c>
      <c r="N39" s="217">
        <v>1</v>
      </c>
      <c r="O39" s="217">
        <v>1</v>
      </c>
      <c r="P39" s="217">
        <v>1</v>
      </c>
      <c r="Q39" s="217">
        <v>1</v>
      </c>
      <c r="R39" s="217">
        <v>1</v>
      </c>
      <c r="S39" s="218">
        <v>1</v>
      </c>
      <c r="T39" s="13"/>
    </row>
    <row r="40" spans="2:20" x14ac:dyDescent="0.25">
      <c r="B40" s="1"/>
      <c r="C40" s="269">
        <f t="shared" ref="C40:C54" si="1">C20</f>
        <v>1.5</v>
      </c>
      <c r="D40" s="219">
        <v>0.8125</v>
      </c>
      <c r="E40" s="220">
        <v>0.84429997205734253</v>
      </c>
      <c r="F40" s="220">
        <v>0.88924527168273926</v>
      </c>
      <c r="G40" s="220">
        <v>0.92635703086853027</v>
      </c>
      <c r="H40" s="220">
        <v>0.95404571294784546</v>
      </c>
      <c r="I40" s="220">
        <v>0.96789002418518066</v>
      </c>
      <c r="J40" s="220">
        <v>0.97481220960617065</v>
      </c>
      <c r="K40" s="220">
        <v>0.98173439502716064</v>
      </c>
      <c r="L40" s="220">
        <v>0.98517930507659912</v>
      </c>
      <c r="M40" s="220">
        <v>0.99258965253829956</v>
      </c>
      <c r="N40" s="220">
        <v>1</v>
      </c>
      <c r="O40" s="220">
        <v>1</v>
      </c>
      <c r="P40" s="220">
        <v>1</v>
      </c>
      <c r="Q40" s="220">
        <v>1</v>
      </c>
      <c r="R40" s="220">
        <v>1</v>
      </c>
      <c r="S40" s="221">
        <v>1</v>
      </c>
      <c r="T40" s="13"/>
    </row>
    <row r="41" spans="2:20" x14ac:dyDescent="0.25">
      <c r="B41" s="1"/>
      <c r="C41" s="269">
        <f t="shared" si="1"/>
        <v>2</v>
      </c>
      <c r="D41" s="222">
        <v>0.84375</v>
      </c>
      <c r="E41" s="220">
        <v>0.86548125743865967</v>
      </c>
      <c r="F41" s="220">
        <v>0.90346252918243408</v>
      </c>
      <c r="G41" s="220">
        <v>0.93709218502044678</v>
      </c>
      <c r="H41" s="220">
        <v>0.95941329002380371</v>
      </c>
      <c r="I41" s="220">
        <v>0.97057384252548218</v>
      </c>
      <c r="J41" s="220">
        <v>0.97615408897399902</v>
      </c>
      <c r="K41" s="220">
        <v>0.98173439502716064</v>
      </c>
      <c r="L41" s="220">
        <v>0.98517930507659912</v>
      </c>
      <c r="M41" s="220">
        <v>0.99258965253829956</v>
      </c>
      <c r="N41" s="220">
        <v>1</v>
      </c>
      <c r="O41" s="220">
        <v>1</v>
      </c>
      <c r="P41" s="220">
        <v>1</v>
      </c>
      <c r="Q41" s="220">
        <v>1</v>
      </c>
      <c r="R41" s="220">
        <v>1</v>
      </c>
      <c r="S41" s="221">
        <v>1</v>
      </c>
      <c r="T41" s="13"/>
    </row>
    <row r="42" spans="2:20" x14ac:dyDescent="0.25">
      <c r="B42" s="1"/>
      <c r="C42" s="269">
        <f t="shared" si="1"/>
        <v>2.5</v>
      </c>
      <c r="D42" s="222">
        <v>0.859375</v>
      </c>
      <c r="E42" s="220">
        <v>0.87607187032699585</v>
      </c>
      <c r="F42" s="220">
        <v>0.90875780582427979</v>
      </c>
      <c r="G42" s="220">
        <v>0.93973982334136963</v>
      </c>
      <c r="H42" s="220">
        <v>0.96073710918426514</v>
      </c>
      <c r="I42" s="220">
        <v>0.97123575210571289</v>
      </c>
      <c r="J42" s="220">
        <v>0.97648507356643677</v>
      </c>
      <c r="K42" s="220">
        <v>0.98173439502716064</v>
      </c>
      <c r="L42" s="220">
        <v>0.98517930507659912</v>
      </c>
      <c r="M42" s="220">
        <v>0.99258965253829956</v>
      </c>
      <c r="N42" s="220">
        <v>1</v>
      </c>
      <c r="O42" s="220">
        <v>1</v>
      </c>
      <c r="P42" s="220">
        <v>1.0001050233840942</v>
      </c>
      <c r="Q42" s="220">
        <v>1.0001050233840942</v>
      </c>
      <c r="R42" s="220">
        <v>1.0001050233840942</v>
      </c>
      <c r="S42" s="221">
        <v>1.0001050233840942</v>
      </c>
      <c r="T42" s="13"/>
    </row>
    <row r="43" spans="2:20" x14ac:dyDescent="0.25">
      <c r="B43" s="1"/>
      <c r="C43" s="269">
        <f t="shared" si="1"/>
        <v>3</v>
      </c>
      <c r="D43" s="222">
        <v>0.8671875</v>
      </c>
      <c r="E43" s="220">
        <v>0.88275623321533203</v>
      </c>
      <c r="F43" s="220">
        <v>0.91209995746612549</v>
      </c>
      <c r="G43" s="220">
        <v>0.94141089916229248</v>
      </c>
      <c r="H43" s="220">
        <v>0.96157264709472656</v>
      </c>
      <c r="I43" s="220">
        <v>0.9716535210609436</v>
      </c>
      <c r="J43" s="220">
        <v>0.97669398784637451</v>
      </c>
      <c r="K43" s="220">
        <v>0.98173439502716064</v>
      </c>
      <c r="L43" s="220">
        <v>0.98517930507659912</v>
      </c>
      <c r="M43" s="220">
        <v>0.99258965253829956</v>
      </c>
      <c r="N43" s="220">
        <v>1</v>
      </c>
      <c r="O43" s="220">
        <v>1</v>
      </c>
      <c r="P43" s="220">
        <v>1.0002100467681885</v>
      </c>
      <c r="Q43" s="220">
        <v>1.0002100467681885</v>
      </c>
      <c r="R43" s="220">
        <v>1.0002100467681885</v>
      </c>
      <c r="S43" s="221">
        <v>1.0002100467681885</v>
      </c>
      <c r="T43" s="13"/>
    </row>
    <row r="44" spans="2:20" x14ac:dyDescent="0.25">
      <c r="B44" s="1"/>
      <c r="C44" s="269">
        <f t="shared" si="1"/>
        <v>4</v>
      </c>
      <c r="D44" s="222">
        <v>0.875</v>
      </c>
      <c r="E44" s="220">
        <v>0.88666248321533203</v>
      </c>
      <c r="F44" s="220">
        <v>0.91405308246612549</v>
      </c>
      <c r="G44" s="220">
        <v>0.94238746166229248</v>
      </c>
      <c r="H44" s="220">
        <v>0.96206092834472656</v>
      </c>
      <c r="I44" s="220">
        <v>0.9718976616859436</v>
      </c>
      <c r="J44" s="220">
        <v>0.98173439502716064</v>
      </c>
      <c r="K44" s="220">
        <v>0.98173439502716064</v>
      </c>
      <c r="L44" s="220">
        <v>0.98517930507659912</v>
      </c>
      <c r="M44" s="220">
        <v>0.99258965253829956</v>
      </c>
      <c r="N44" s="220">
        <v>1</v>
      </c>
      <c r="O44" s="220">
        <v>1</v>
      </c>
      <c r="P44" s="220">
        <v>1.0002100467681885</v>
      </c>
      <c r="Q44" s="220">
        <v>1.0002100467681885</v>
      </c>
      <c r="R44" s="220">
        <v>1.0002100467681885</v>
      </c>
      <c r="S44" s="221">
        <v>1.0002100467681885</v>
      </c>
      <c r="T44" s="13"/>
    </row>
    <row r="45" spans="2:20" x14ac:dyDescent="0.25">
      <c r="B45" s="1"/>
      <c r="C45" s="269">
        <f t="shared" si="1"/>
        <v>5</v>
      </c>
      <c r="D45" s="222">
        <v>0.8828125</v>
      </c>
      <c r="E45" s="220">
        <v>0.89329248666763306</v>
      </c>
      <c r="F45" s="220">
        <v>0.91736811399459839</v>
      </c>
      <c r="G45" s="220">
        <v>0.94404494762420654</v>
      </c>
      <c r="H45" s="220">
        <v>0.96288967132568359</v>
      </c>
      <c r="I45" s="220">
        <v>0.97231203317642212</v>
      </c>
      <c r="J45" s="220">
        <v>0.98173439502716064</v>
      </c>
      <c r="K45" s="220">
        <v>0.98173439502716064</v>
      </c>
      <c r="L45" s="220">
        <v>0.98517930507659912</v>
      </c>
      <c r="M45" s="220">
        <v>0.99258965253829956</v>
      </c>
      <c r="N45" s="220">
        <v>1</v>
      </c>
      <c r="O45" s="220">
        <v>1</v>
      </c>
      <c r="P45" s="220">
        <v>1.0002100467681885</v>
      </c>
      <c r="Q45" s="220">
        <v>1.0002100467681885</v>
      </c>
      <c r="R45" s="220">
        <v>1.0002100467681885</v>
      </c>
      <c r="S45" s="221">
        <v>1.0002100467681885</v>
      </c>
      <c r="T45" s="13"/>
    </row>
    <row r="46" spans="2:20" x14ac:dyDescent="0.25">
      <c r="B46" s="1"/>
      <c r="C46" s="269">
        <f t="shared" si="1"/>
        <v>6</v>
      </c>
      <c r="D46" s="222">
        <v>0.9069703221321106</v>
      </c>
      <c r="E46" s="220">
        <v>0.91798853874206543</v>
      </c>
      <c r="F46" s="220">
        <v>0.93291544914245605</v>
      </c>
      <c r="G46" s="220">
        <v>0.95181864500045776</v>
      </c>
      <c r="H46" s="220">
        <v>0.96677649021148682</v>
      </c>
      <c r="I46" s="220">
        <v>0.97425544261932373</v>
      </c>
      <c r="J46" s="220">
        <v>0.98173439502716064</v>
      </c>
      <c r="K46" s="220">
        <v>0.98173439502716064</v>
      </c>
      <c r="L46" s="220">
        <v>0.98517930507659912</v>
      </c>
      <c r="M46" s="220">
        <v>0.99258965253829956</v>
      </c>
      <c r="N46" s="220">
        <v>1</v>
      </c>
      <c r="O46" s="220">
        <v>1</v>
      </c>
      <c r="P46" s="220">
        <v>1.0002100467681885</v>
      </c>
      <c r="Q46" s="220">
        <v>1.0002100467681885</v>
      </c>
      <c r="R46" s="220">
        <v>1.0002100467681885</v>
      </c>
      <c r="S46" s="221">
        <v>1.0002100467681885</v>
      </c>
      <c r="T46" s="13"/>
    </row>
    <row r="47" spans="2:20" x14ac:dyDescent="0.25">
      <c r="B47" s="1"/>
      <c r="C47" s="269">
        <f t="shared" si="1"/>
        <v>7</v>
      </c>
      <c r="D47" s="222">
        <v>0.9362671971321106</v>
      </c>
      <c r="E47" s="220">
        <v>0.94466543197631836</v>
      </c>
      <c r="F47" s="220">
        <v>0.95306360721588135</v>
      </c>
      <c r="G47" s="220">
        <v>0.96248143911361694</v>
      </c>
      <c r="H47" s="220">
        <v>0.97210788726806641</v>
      </c>
      <c r="I47" s="220">
        <v>0.98173439502716064</v>
      </c>
      <c r="J47" s="220">
        <v>0.98173439502716064</v>
      </c>
      <c r="K47" s="220">
        <v>0.98173439502716064</v>
      </c>
      <c r="L47" s="220">
        <v>0.98517930507659912</v>
      </c>
      <c r="M47" s="220">
        <v>0.99258965253829956</v>
      </c>
      <c r="N47" s="220">
        <v>1</v>
      </c>
      <c r="O47" s="220">
        <v>1</v>
      </c>
      <c r="P47" s="220">
        <v>1.0002100467681885</v>
      </c>
      <c r="Q47" s="220">
        <v>1.0002100467681885</v>
      </c>
      <c r="R47" s="220">
        <v>1.0002100467681885</v>
      </c>
      <c r="S47" s="221">
        <v>1.0002100467681885</v>
      </c>
      <c r="T47" s="13"/>
    </row>
    <row r="48" spans="2:20" x14ac:dyDescent="0.25">
      <c r="B48" s="1"/>
      <c r="C48" s="269">
        <f t="shared" si="1"/>
        <v>8</v>
      </c>
      <c r="D48" s="222">
        <v>0.9509156346321106</v>
      </c>
      <c r="E48" s="220">
        <v>0.95800387859344482</v>
      </c>
      <c r="F48" s="220">
        <v>0.96509206295013428</v>
      </c>
      <c r="G48" s="220">
        <v>0.96980094909667969</v>
      </c>
      <c r="H48" s="220">
        <v>0.97712051868438721</v>
      </c>
      <c r="I48" s="220">
        <v>0.98173439502716064</v>
      </c>
      <c r="J48" s="220">
        <v>0.98173439502716064</v>
      </c>
      <c r="K48" s="220">
        <v>0.98173439502716064</v>
      </c>
      <c r="L48" s="220">
        <v>0.98517930507659912</v>
      </c>
      <c r="M48" s="220">
        <v>0.99258965253829956</v>
      </c>
      <c r="N48" s="220">
        <v>1</v>
      </c>
      <c r="O48" s="220">
        <v>1</v>
      </c>
      <c r="P48" s="220">
        <v>1.0002100467681885</v>
      </c>
      <c r="Q48" s="220">
        <v>1.0002100467681885</v>
      </c>
      <c r="R48" s="220">
        <v>1.0002100467681885</v>
      </c>
      <c r="S48" s="221">
        <v>1.0002100467681885</v>
      </c>
      <c r="T48" s="13"/>
    </row>
    <row r="49" spans="2:20" x14ac:dyDescent="0.25">
      <c r="B49" s="1"/>
      <c r="C49" s="269">
        <f t="shared" si="1"/>
        <v>9</v>
      </c>
      <c r="D49" s="222">
        <v>0.9582398533821106</v>
      </c>
      <c r="E49" s="220">
        <v>0.96467304229736328</v>
      </c>
      <c r="F49" s="220">
        <v>0.97110629081726074</v>
      </c>
      <c r="G49" s="220">
        <v>0.97712051868438721</v>
      </c>
      <c r="H49" s="220">
        <v>0.97712051868438721</v>
      </c>
      <c r="I49" s="220">
        <v>0.98173439502716064</v>
      </c>
      <c r="J49" s="220">
        <v>0.98173439502716064</v>
      </c>
      <c r="K49" s="220">
        <v>0.98173439502716064</v>
      </c>
      <c r="L49" s="220">
        <v>0.98517930507659912</v>
      </c>
      <c r="M49" s="220">
        <v>0.99258965253829956</v>
      </c>
      <c r="N49" s="220">
        <v>1</v>
      </c>
      <c r="O49" s="220">
        <v>1</v>
      </c>
      <c r="P49" s="220">
        <v>1.0002100467681885</v>
      </c>
      <c r="Q49" s="220">
        <v>1.0002100467681885</v>
      </c>
      <c r="R49" s="220">
        <v>1.0002100467681885</v>
      </c>
      <c r="S49" s="221">
        <v>1.0002100467681885</v>
      </c>
      <c r="T49" s="13"/>
    </row>
    <row r="50" spans="2:20" x14ac:dyDescent="0.25">
      <c r="B50" s="1"/>
      <c r="C50" s="269">
        <f t="shared" si="1"/>
        <v>10</v>
      </c>
      <c r="D50" s="222">
        <v>0.9655640721321106</v>
      </c>
      <c r="E50" s="220">
        <v>0.97134232521057129</v>
      </c>
      <c r="F50" s="220">
        <v>0.97712051868438721</v>
      </c>
      <c r="G50" s="220">
        <v>0.97712051868438721</v>
      </c>
      <c r="H50" s="220">
        <v>0.97712051868438721</v>
      </c>
      <c r="I50" s="220">
        <v>0.98173439502716064</v>
      </c>
      <c r="J50" s="220">
        <v>0.98173439502716064</v>
      </c>
      <c r="K50" s="220">
        <v>0.98173439502716064</v>
      </c>
      <c r="L50" s="220">
        <v>0.98517930507659912</v>
      </c>
      <c r="M50" s="220">
        <v>0.99258965253829956</v>
      </c>
      <c r="N50" s="220">
        <v>1</v>
      </c>
      <c r="O50" s="220">
        <v>1</v>
      </c>
      <c r="P50" s="220">
        <v>1.0002100467681885</v>
      </c>
      <c r="Q50" s="220">
        <v>1.0002100467681885</v>
      </c>
      <c r="R50" s="220">
        <v>1.0002100467681885</v>
      </c>
      <c r="S50" s="221">
        <v>1.0002100467681885</v>
      </c>
      <c r="T50" s="13"/>
    </row>
    <row r="51" spans="2:20" x14ac:dyDescent="0.25">
      <c r="B51" s="1"/>
      <c r="C51" s="269">
        <f t="shared" si="1"/>
        <v>12</v>
      </c>
      <c r="D51" s="222">
        <v>0.9655640721321106</v>
      </c>
      <c r="E51" s="220">
        <v>0.97134232521057129</v>
      </c>
      <c r="F51" s="220">
        <v>0.97712051868438721</v>
      </c>
      <c r="G51" s="220">
        <v>0.97712051868438721</v>
      </c>
      <c r="H51" s="220">
        <v>0.97712051868438721</v>
      </c>
      <c r="I51" s="220">
        <v>0.98173439502716064</v>
      </c>
      <c r="J51" s="220">
        <v>0.98173439502716064</v>
      </c>
      <c r="K51" s="220">
        <v>0.98173439502716064</v>
      </c>
      <c r="L51" s="220">
        <v>0.98517930507659912</v>
      </c>
      <c r="M51" s="220">
        <v>0.99258965253829956</v>
      </c>
      <c r="N51" s="220">
        <v>1</v>
      </c>
      <c r="O51" s="220">
        <v>1</v>
      </c>
      <c r="P51" s="220">
        <v>1.0002100467681885</v>
      </c>
      <c r="Q51" s="220">
        <v>1.0002100467681885</v>
      </c>
      <c r="R51" s="220">
        <v>1.0002100467681885</v>
      </c>
      <c r="S51" s="221">
        <v>1.0002100467681885</v>
      </c>
      <c r="T51" s="13"/>
    </row>
    <row r="52" spans="2:20" x14ac:dyDescent="0.25">
      <c r="B52" s="1"/>
      <c r="C52" s="269">
        <f t="shared" si="1"/>
        <v>14</v>
      </c>
      <c r="D52" s="222">
        <v>0.9655640721321106</v>
      </c>
      <c r="E52" s="220">
        <v>0.97134232521057129</v>
      </c>
      <c r="F52" s="220">
        <v>0.97712051868438721</v>
      </c>
      <c r="G52" s="220">
        <v>0.97712051868438721</v>
      </c>
      <c r="H52" s="220">
        <v>0.97712051868438721</v>
      </c>
      <c r="I52" s="220">
        <v>0.98173439502716064</v>
      </c>
      <c r="J52" s="220">
        <v>0.98173439502716064</v>
      </c>
      <c r="K52" s="220">
        <v>0.98173439502716064</v>
      </c>
      <c r="L52" s="220">
        <v>0.98517930507659912</v>
      </c>
      <c r="M52" s="220">
        <v>0.99258965253829956</v>
      </c>
      <c r="N52" s="220">
        <v>1</v>
      </c>
      <c r="O52" s="220">
        <v>1</v>
      </c>
      <c r="P52" s="220">
        <v>1.0002100467681885</v>
      </c>
      <c r="Q52" s="220">
        <v>1.0002100467681885</v>
      </c>
      <c r="R52" s="220">
        <v>1.0002100467681885</v>
      </c>
      <c r="S52" s="221">
        <v>1.0002100467681885</v>
      </c>
      <c r="T52" s="13"/>
    </row>
    <row r="53" spans="2:20" x14ac:dyDescent="0.25">
      <c r="B53" s="1"/>
      <c r="C53" s="269">
        <f t="shared" si="1"/>
        <v>17</v>
      </c>
      <c r="D53" s="222">
        <v>0.98278200626373291</v>
      </c>
      <c r="E53" s="220">
        <v>0.9885602593421936</v>
      </c>
      <c r="F53" s="220">
        <v>0.9885602593421936</v>
      </c>
      <c r="G53" s="220">
        <v>0.9885602593421936</v>
      </c>
      <c r="H53" s="220">
        <v>0.9885602593421936</v>
      </c>
      <c r="I53" s="220">
        <v>0.99086719751358032</v>
      </c>
      <c r="J53" s="220">
        <v>0.99086719751358032</v>
      </c>
      <c r="K53" s="220">
        <v>0.99086719751358032</v>
      </c>
      <c r="L53" s="220">
        <v>0.99258965253829956</v>
      </c>
      <c r="M53" s="220">
        <v>0.99258965253829956</v>
      </c>
      <c r="N53" s="220">
        <v>1</v>
      </c>
      <c r="O53" s="220">
        <v>1</v>
      </c>
      <c r="P53" s="220">
        <v>1.0002100467681885</v>
      </c>
      <c r="Q53" s="220">
        <v>1.0002100467681885</v>
      </c>
      <c r="R53" s="220">
        <v>1.0002100467681885</v>
      </c>
      <c r="S53" s="221">
        <v>1.0002100467681885</v>
      </c>
      <c r="T53" s="13"/>
    </row>
    <row r="54" spans="2:20" ht="15.75" thickBot="1" x14ac:dyDescent="0.3">
      <c r="B54" s="1"/>
      <c r="C54" s="270">
        <f t="shared" si="1"/>
        <v>20</v>
      </c>
      <c r="D54" s="223">
        <v>1</v>
      </c>
      <c r="E54" s="224">
        <v>1</v>
      </c>
      <c r="F54" s="224">
        <v>1</v>
      </c>
      <c r="G54" s="224">
        <v>1</v>
      </c>
      <c r="H54" s="224">
        <v>1</v>
      </c>
      <c r="I54" s="224">
        <v>1</v>
      </c>
      <c r="J54" s="224">
        <v>1</v>
      </c>
      <c r="K54" s="224">
        <v>1</v>
      </c>
      <c r="L54" s="224">
        <v>1</v>
      </c>
      <c r="M54" s="224">
        <v>1</v>
      </c>
      <c r="N54" s="224">
        <v>1</v>
      </c>
      <c r="O54" s="224">
        <v>1</v>
      </c>
      <c r="P54" s="224">
        <v>1.0002100467681885</v>
      </c>
      <c r="Q54" s="224">
        <v>1.0002100467681885</v>
      </c>
      <c r="R54" s="224">
        <v>1.0002100467681885</v>
      </c>
      <c r="S54" s="225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60" t="s">
        <v>1012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1"/>
      <c r="T57" s="361"/>
    </row>
    <row r="58" spans="2:20" x14ac:dyDescent="0.25">
      <c r="B58" s="1"/>
      <c r="C58" s="362" t="s">
        <v>1176</v>
      </c>
      <c r="D58" s="363"/>
      <c r="E58" s="363"/>
      <c r="F58" s="363"/>
      <c r="G58" s="363"/>
      <c r="H58" s="363"/>
      <c r="I58" s="363"/>
      <c r="J58" s="363"/>
      <c r="K58" s="363"/>
      <c r="L58" s="363"/>
      <c r="M58" s="363"/>
      <c r="N58" s="363"/>
      <c r="O58" s="363"/>
      <c r="P58" s="363"/>
      <c r="Q58" s="363"/>
      <c r="R58" s="363"/>
      <c r="S58" s="364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password="FD37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9:S34">
      <formula1>0.5</formula1>
      <formula2>1.5</formula2>
    </dataValidation>
    <dataValidation type="decimal" showInputMessage="1" showErrorMessage="1" sqref="D18:S18">
      <formula1>500</formula1>
      <formula2>8000</formula2>
    </dataValidation>
    <dataValidation type="decimal" showInputMessage="1" showErrorMessage="1" sqref="C19:C34">
      <formula1>1</formula1>
      <formula2>30</formula2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60" t="s">
        <v>15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36" t="s">
        <v>1141</v>
      </c>
      <c r="Y3" s="377"/>
      <c r="Z3" s="377"/>
      <c r="AA3" s="377"/>
      <c r="AB3" s="377"/>
      <c r="AC3" s="377"/>
      <c r="AD3" s="377"/>
      <c r="AE3" s="378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324"/>
      <c r="Y4" s="379"/>
      <c r="Z4" s="379"/>
      <c r="AA4" s="379"/>
      <c r="AB4" s="379"/>
      <c r="AC4" s="379"/>
      <c r="AD4" s="379"/>
      <c r="AE4" s="380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324"/>
      <c r="Y5" s="379"/>
      <c r="Z5" s="379"/>
      <c r="AA5" s="379"/>
      <c r="AB5" s="379"/>
      <c r="AC5" s="379"/>
      <c r="AD5" s="379"/>
      <c r="AE5" s="380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324"/>
      <c r="Y6" s="379"/>
      <c r="Z6" s="379"/>
      <c r="AA6" s="379"/>
      <c r="AB6" s="379"/>
      <c r="AC6" s="379"/>
      <c r="AD6" s="379"/>
      <c r="AE6" s="380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324"/>
      <c r="Y7" s="379"/>
      <c r="Z7" s="379"/>
      <c r="AA7" s="379"/>
      <c r="AB7" s="379"/>
      <c r="AC7" s="379"/>
      <c r="AD7" s="379"/>
      <c r="AE7" s="380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324"/>
      <c r="Y8" s="379"/>
      <c r="Z8" s="379"/>
      <c r="AA8" s="379"/>
      <c r="AB8" s="379"/>
      <c r="AC8" s="379"/>
      <c r="AD8" s="379"/>
      <c r="AE8" s="380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324"/>
      <c r="Y9" s="379"/>
      <c r="Z9" s="379"/>
      <c r="AA9" s="379"/>
      <c r="AB9" s="379"/>
      <c r="AC9" s="379"/>
      <c r="AD9" s="379"/>
      <c r="AE9" s="380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42" t="s">
        <v>0</v>
      </c>
      <c r="Y10" s="381"/>
      <c r="Z10" s="381"/>
      <c r="AA10" s="381"/>
      <c r="AB10" s="381"/>
      <c r="AC10" s="381"/>
      <c r="AD10" s="381"/>
      <c r="AE10" s="382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83"/>
      <c r="Y11" s="384"/>
      <c r="Z11" s="384"/>
      <c r="AA11" s="384"/>
      <c r="AB11" s="384"/>
      <c r="AC11" s="384"/>
      <c r="AD11" s="384"/>
      <c r="AE11" s="385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86"/>
      <c r="Y14" s="387"/>
      <c r="Z14" s="32" t="s">
        <v>2</v>
      </c>
      <c r="AA14" s="346" t="s">
        <v>1</v>
      </c>
      <c r="AB14" s="346"/>
      <c r="AC14" s="346"/>
      <c r="AD14" s="346"/>
      <c r="AE14" s="346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29" t="s">
        <v>17</v>
      </c>
      <c r="D22" s="329"/>
      <c r="E22" s="371"/>
      <c r="F22" s="247" t="s">
        <v>36</v>
      </c>
      <c r="G22" s="329" t="s">
        <v>3</v>
      </c>
      <c r="H22" s="329"/>
      <c r="I22" s="371"/>
      <c r="J22" s="246">
        <v>0.8</v>
      </c>
      <c r="K22" s="59" t="s">
        <v>12</v>
      </c>
      <c r="L22" s="48"/>
      <c r="M22" s="329" t="s">
        <v>4</v>
      </c>
      <c r="N22" s="329"/>
      <c r="O22" s="329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5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29" t="s">
        <v>1140</v>
      </c>
      <c r="D24" s="330"/>
      <c r="E24" s="375" t="s">
        <v>1142</v>
      </c>
      <c r="F24" s="376"/>
      <c r="G24" s="329" t="s">
        <v>11</v>
      </c>
      <c r="H24" s="329"/>
      <c r="I24" s="371"/>
      <c r="J24" s="372" t="s">
        <v>1143</v>
      </c>
      <c r="K24" s="373"/>
      <c r="L24" s="63"/>
      <c r="M24" s="329" t="s">
        <v>8</v>
      </c>
      <c r="N24" s="329"/>
      <c r="O24" s="329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29" t="s">
        <v>5</v>
      </c>
      <c r="H26" s="329"/>
      <c r="I26" s="371"/>
      <c r="J26" s="246">
        <v>0</v>
      </c>
      <c r="K26" s="59" t="s">
        <v>13</v>
      </c>
      <c r="L26" s="48"/>
      <c r="M26" s="329" t="s">
        <v>6</v>
      </c>
      <c r="N26" s="329"/>
      <c r="O26" s="329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70" t="s">
        <v>9</v>
      </c>
      <c r="I27" s="370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algorithmName="SHA-512" hashValue="kVnl9GSZYpgLtdENhZZHninFmCID16SeIhM25nJHoytmzqAgU9Mnf0bE5bNk3artian9ezE8B7FivvkbevZ4GA==" saltValue="hCvOQOoDelLLXlJImPjZBg==" spinCount="100000" sheet="1" objects="1" scenarios="1"/>
  <mergeCells count="16">
    <mergeCell ref="X3:AE9"/>
    <mergeCell ref="X10:AE11"/>
    <mergeCell ref="X14:Y14"/>
    <mergeCell ref="AA14:AE14"/>
    <mergeCell ref="G22:I22"/>
    <mergeCell ref="M22:O22"/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60" t="s">
        <v>18</v>
      </c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61"/>
      <c r="S2" s="361"/>
      <c r="T2" s="361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60" t="s">
        <v>19</v>
      </c>
      <c r="C22" s="361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36" t="s">
        <v>37</v>
      </c>
      <c r="S23" s="337"/>
      <c r="T23" s="337"/>
      <c r="U23" s="337"/>
      <c r="V23" s="337"/>
      <c r="W23" s="337"/>
      <c r="X23" s="337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39"/>
      <c r="S24" s="366"/>
      <c r="T24" s="366"/>
      <c r="U24" s="366"/>
      <c r="V24" s="366"/>
      <c r="W24" s="366"/>
      <c r="X24" s="366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39"/>
      <c r="S25" s="366"/>
      <c r="T25" s="366"/>
      <c r="U25" s="366"/>
      <c r="V25" s="366"/>
      <c r="W25" s="366"/>
      <c r="X25" s="366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39"/>
      <c r="S26" s="366"/>
      <c r="T26" s="366"/>
      <c r="U26" s="366"/>
      <c r="V26" s="366"/>
      <c r="W26" s="366"/>
      <c r="X26" s="366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39"/>
      <c r="S27" s="366"/>
      <c r="T27" s="366"/>
      <c r="U27" s="366"/>
      <c r="V27" s="366"/>
      <c r="W27" s="366"/>
      <c r="X27" s="366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39"/>
      <c r="S28" s="366"/>
      <c r="T28" s="366"/>
      <c r="U28" s="366"/>
      <c r="V28" s="366"/>
      <c r="W28" s="366"/>
      <c r="X28" s="366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39"/>
      <c r="S29" s="366"/>
      <c r="T29" s="366"/>
      <c r="U29" s="366"/>
      <c r="V29" s="366"/>
      <c r="W29" s="366"/>
      <c r="X29" s="366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42" t="s">
        <v>0</v>
      </c>
      <c r="S30" s="366"/>
      <c r="T30" s="366"/>
      <c r="U30" s="366"/>
      <c r="V30" s="366"/>
      <c r="W30" s="366"/>
      <c r="X30" s="366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43"/>
      <c r="S31" s="344"/>
      <c r="T31" s="344"/>
      <c r="U31" s="344"/>
      <c r="V31" s="344"/>
      <c r="W31" s="344"/>
      <c r="X31" s="344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46" t="s">
        <v>1</v>
      </c>
      <c r="U33" s="346"/>
      <c r="V33" s="346"/>
      <c r="W33" s="346"/>
      <c r="X33" s="346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8" t="s">
        <v>20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0tPW4K5XGzcGGrKdxCtvMmeyMSlrzx4OUKppNVJdvKiVJ6rcDZ0Inc7qW+nVVgJ8kbpQvVXFRb++OPau35U5mw==" saltValue="ZXp89eszrHf46tzvJCKpYw==" spinCount="100000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60" t="s">
        <v>18</v>
      </c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  <c r="O2" s="390"/>
      <c r="P2" s="390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60" t="s">
        <v>19</v>
      </c>
      <c r="C22" s="361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36" t="s">
        <v>38</v>
      </c>
      <c r="S23" s="337"/>
      <c r="T23" s="337"/>
      <c r="U23" s="337"/>
      <c r="V23" s="337"/>
      <c r="W23" s="337"/>
      <c r="X23" s="337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39"/>
      <c r="S24" s="366"/>
      <c r="T24" s="366"/>
      <c r="U24" s="366"/>
      <c r="V24" s="366"/>
      <c r="W24" s="366"/>
      <c r="X24" s="366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39"/>
      <c r="S25" s="366"/>
      <c r="T25" s="366"/>
      <c r="U25" s="366"/>
      <c r="V25" s="366"/>
      <c r="W25" s="366"/>
      <c r="X25" s="366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39"/>
      <c r="S26" s="366"/>
      <c r="T26" s="366"/>
      <c r="U26" s="366"/>
      <c r="V26" s="366"/>
      <c r="W26" s="366"/>
      <c r="X26" s="366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39"/>
      <c r="S27" s="366"/>
      <c r="T27" s="366"/>
      <c r="U27" s="366"/>
      <c r="V27" s="366"/>
      <c r="W27" s="366"/>
      <c r="X27" s="366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39"/>
      <c r="S28" s="366"/>
      <c r="T28" s="366"/>
      <c r="U28" s="366"/>
      <c r="V28" s="366"/>
      <c r="W28" s="366"/>
      <c r="X28" s="366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39"/>
      <c r="S29" s="366"/>
      <c r="T29" s="366"/>
      <c r="U29" s="366"/>
      <c r="V29" s="366"/>
      <c r="W29" s="366"/>
      <c r="X29" s="366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42" t="s">
        <v>0</v>
      </c>
      <c r="S30" s="366"/>
      <c r="T30" s="366"/>
      <c r="U30" s="366"/>
      <c r="V30" s="366"/>
      <c r="W30" s="366"/>
      <c r="X30" s="366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43"/>
      <c r="S31" s="344"/>
      <c r="T31" s="344"/>
      <c r="U31" s="344"/>
      <c r="V31" s="344"/>
      <c r="W31" s="344"/>
      <c r="X31" s="344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46" t="s">
        <v>1</v>
      </c>
      <c r="U33" s="346"/>
      <c r="V33" s="346"/>
      <c r="W33" s="346"/>
      <c r="X33" s="346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8" t="s">
        <v>20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2Xg0svmJ8iOEYkfubKkKZ9f6gDsoiDxhNtq58Q1AN+jeFegzIZpHKuTP3w0oSt4aElHo90BB8eIcv94bsYGg5A==" saltValue="jp+7Cupjm2TYl+il7qMT9g==" spinCount="100000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>
      <selection activeCell="L37" sqref="L37"/>
    </sheetView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36" t="s">
        <v>1016</v>
      </c>
      <c r="H3" s="337"/>
      <c r="I3" s="337"/>
      <c r="J3" s="337"/>
      <c r="K3" s="337"/>
      <c r="L3" s="338"/>
      <c r="M3" s="22"/>
    </row>
    <row r="4" spans="6:20" x14ac:dyDescent="0.25">
      <c r="F4" s="48"/>
      <c r="G4" s="339"/>
      <c r="H4" s="340"/>
      <c r="I4" s="340"/>
      <c r="J4" s="340"/>
      <c r="K4" s="340"/>
      <c r="L4" s="341"/>
      <c r="M4" s="22"/>
    </row>
    <row r="5" spans="6:20" x14ac:dyDescent="0.25">
      <c r="F5" s="48"/>
      <c r="G5" s="339"/>
      <c r="H5" s="340"/>
      <c r="I5" s="340"/>
      <c r="J5" s="340"/>
      <c r="K5" s="340"/>
      <c r="L5" s="341"/>
      <c r="M5" s="22"/>
    </row>
    <row r="6" spans="6:20" x14ac:dyDescent="0.25">
      <c r="F6" s="48"/>
      <c r="G6" s="339"/>
      <c r="H6" s="340"/>
      <c r="I6" s="340"/>
      <c r="J6" s="340"/>
      <c r="K6" s="340"/>
      <c r="L6" s="341"/>
      <c r="M6" s="22"/>
    </row>
    <row r="7" spans="6:20" x14ac:dyDescent="0.25">
      <c r="F7" s="48"/>
      <c r="G7" s="339"/>
      <c r="H7" s="340"/>
      <c r="I7" s="340"/>
      <c r="J7" s="340"/>
      <c r="K7" s="340"/>
      <c r="L7" s="341"/>
      <c r="M7" s="22"/>
    </row>
    <row r="8" spans="6:20" x14ac:dyDescent="0.25">
      <c r="F8" s="58"/>
      <c r="G8" s="339"/>
      <c r="H8" s="340"/>
      <c r="I8" s="340"/>
      <c r="J8" s="340"/>
      <c r="K8" s="340"/>
      <c r="L8" s="341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39"/>
      <c r="H9" s="340"/>
      <c r="I9" s="340"/>
      <c r="J9" s="340"/>
      <c r="K9" s="340"/>
      <c r="L9" s="341"/>
      <c r="M9" s="1"/>
      <c r="O9" s="329" t="s">
        <v>1008</v>
      </c>
      <c r="P9" s="329"/>
      <c r="Q9" s="371"/>
      <c r="R9" s="391" t="s">
        <v>1009</v>
      </c>
      <c r="S9" s="392"/>
      <c r="T9" s="1"/>
    </row>
    <row r="10" spans="6:20" x14ac:dyDescent="0.25">
      <c r="F10" s="1"/>
      <c r="G10" s="339"/>
      <c r="H10" s="340"/>
      <c r="I10" s="340"/>
      <c r="J10" s="340"/>
      <c r="K10" s="340"/>
      <c r="L10" s="341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42" t="s">
        <v>0</v>
      </c>
      <c r="H11" s="340"/>
      <c r="I11" s="340"/>
      <c r="J11" s="340"/>
      <c r="K11" s="340"/>
      <c r="L11" s="341"/>
      <c r="M11" s="1"/>
    </row>
    <row r="12" spans="6:20" x14ac:dyDescent="0.25">
      <c r="F12" s="48"/>
      <c r="G12" s="343"/>
      <c r="H12" s="344"/>
      <c r="I12" s="344"/>
      <c r="J12" s="344"/>
      <c r="K12" s="344"/>
      <c r="L12" s="345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46" t="s">
        <v>1</v>
      </c>
      <c r="J14" s="346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60" t="s">
        <v>1007</v>
      </c>
      <c r="C17" s="360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360"/>
      <c r="P17" s="360"/>
      <c r="Q17" s="360"/>
      <c r="R17" s="360"/>
      <c r="S17" s="360"/>
      <c r="T17" s="360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60" t="s">
        <v>1006</v>
      </c>
      <c r="C32" s="360"/>
      <c r="D32" s="360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360"/>
      <c r="Q32" s="360"/>
      <c r="R32" s="360"/>
      <c r="S32" s="360"/>
      <c r="T32" s="360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algorithmName="SHA-512" hashValue="klg02VcbYAZB+4/M71xpvIVqyEtlKcs/Qd+mUAsu75iVYqjJtuc9O6Dq4iUsgM9nmOqI0fFkjSc9gWuMs2bs8Q==" saltValue="ZYoO898H/y9V5KkUia+5ww==" spinCount="100000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>
      <selection activeCell="X28" sqref="X28"/>
    </sheetView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60" t="s">
        <v>18</v>
      </c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  <c r="S3" s="361"/>
      <c r="T3" s="361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36" t="s">
        <v>33</v>
      </c>
      <c r="X5" s="337"/>
      <c r="Y5" s="337"/>
      <c r="Z5" s="337"/>
      <c r="AA5" s="338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39"/>
      <c r="X6" s="340"/>
      <c r="Y6" s="340"/>
      <c r="Z6" s="340"/>
      <c r="AA6" s="341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39"/>
      <c r="X7" s="340"/>
      <c r="Y7" s="340"/>
      <c r="Z7" s="340"/>
      <c r="AA7" s="341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39"/>
      <c r="X8" s="340"/>
      <c r="Y8" s="340"/>
      <c r="Z8" s="340"/>
      <c r="AA8" s="341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39"/>
      <c r="X9" s="340"/>
      <c r="Y9" s="340"/>
      <c r="Z9" s="340"/>
      <c r="AA9" s="341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39"/>
      <c r="X10" s="340"/>
      <c r="Y10" s="340"/>
      <c r="Z10" s="340"/>
      <c r="AA10" s="341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39"/>
      <c r="X11" s="340"/>
      <c r="Y11" s="340"/>
      <c r="Z11" s="340"/>
      <c r="AA11" s="341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93"/>
      <c r="X12" s="354"/>
      <c r="Y12" s="354"/>
      <c r="Z12" s="354"/>
      <c r="AA12" s="367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42" t="s">
        <v>0</v>
      </c>
      <c r="X13" s="340"/>
      <c r="Y13" s="340"/>
      <c r="Z13" s="340"/>
      <c r="AA13" s="341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43"/>
      <c r="X14" s="344"/>
      <c r="Y14" s="344"/>
      <c r="Z14" s="344"/>
      <c r="AA14" s="345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46" t="s">
        <v>1</v>
      </c>
      <c r="Z16" s="346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60" t="s">
        <v>29</v>
      </c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53"/>
      <c r="O23" s="353"/>
      <c r="P23" s="353"/>
      <c r="Q23" s="353"/>
      <c r="R23" s="353"/>
      <c r="S23" s="353"/>
      <c r="T23" s="353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60" t="s">
        <v>32</v>
      </c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353"/>
      <c r="T28" s="353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60" t="s">
        <v>34</v>
      </c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algorithmName="SHA-512" hashValue="7d5hjsCDj/lykQbgRqgw6DvoBqmrltIq1Gt2H11//vswsAr4JxyBcRW1CuZrLSWSMehztCn4JyjAKYp+BvK4GQ==" saltValue="oe4WQo+l3uCD/fIw/8M8KQ==" spinCount="100000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L49"/>
  <sheetViews>
    <sheetView showRowColHeaders="0" workbookViewId="0">
      <selection activeCell="S16" sqref="S16"/>
    </sheetView>
  </sheetViews>
  <sheetFormatPr defaultRowHeight="15" x14ac:dyDescent="0.25"/>
  <cols>
    <col min="1" max="1" width="9.140625" style="2"/>
    <col min="2" max="2" width="10.7109375" style="2" customWidth="1"/>
    <col min="3" max="18" width="4.7109375" style="2" customWidth="1"/>
    <col min="19" max="19" width="10.7109375" style="2" customWidth="1"/>
    <col min="20" max="20" width="4.28515625" style="2" customWidth="1"/>
    <col min="21" max="21" width="10.7109375" style="156" customWidth="1"/>
    <col min="22" max="37" width="4.7109375" style="2" customWidth="1"/>
    <col min="38" max="38" width="10.7109375" style="2" customWidth="1"/>
    <col min="39" max="16384" width="9.140625" style="2"/>
  </cols>
  <sheetData>
    <row r="2" spans="2:38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85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</row>
    <row r="3" spans="2:38" x14ac:dyDescent="0.25">
      <c r="B3" s="48"/>
      <c r="C3" s="324" t="s">
        <v>1281</v>
      </c>
      <c r="D3" s="325"/>
      <c r="E3" s="325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22"/>
      <c r="U3" s="287" t="s">
        <v>1250</v>
      </c>
      <c r="V3" s="408" t="s">
        <v>1241</v>
      </c>
      <c r="W3" s="408"/>
      <c r="X3" s="408"/>
      <c r="Y3" s="399" t="s">
        <v>1242</v>
      </c>
      <c r="Z3" s="399"/>
      <c r="AA3" s="399"/>
      <c r="AB3" s="399" t="s">
        <v>1243</v>
      </c>
      <c r="AC3" s="399"/>
      <c r="AD3" s="399"/>
      <c r="AE3" s="286"/>
      <c r="AF3" s="409" t="s">
        <v>1251</v>
      </c>
      <c r="AG3" s="409"/>
      <c r="AH3" s="409"/>
      <c r="AI3" s="408" t="s">
        <v>1241</v>
      </c>
      <c r="AJ3" s="408"/>
      <c r="AK3" s="408"/>
      <c r="AL3" s="288" t="s">
        <v>1253</v>
      </c>
    </row>
    <row r="4" spans="2:38" x14ac:dyDescent="0.25">
      <c r="B4" s="48"/>
      <c r="C4" s="327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22"/>
      <c r="U4" s="289" t="s">
        <v>1230</v>
      </c>
      <c r="V4" s="396" t="s">
        <v>1236</v>
      </c>
      <c r="W4" s="397"/>
      <c r="X4" s="398"/>
      <c r="Y4" s="286"/>
      <c r="Z4" s="286"/>
      <c r="AA4" s="286"/>
      <c r="AB4" s="286"/>
      <c r="AC4" s="286"/>
      <c r="AD4" s="286"/>
      <c r="AE4" s="410" t="s">
        <v>1245</v>
      </c>
      <c r="AF4" s="410"/>
      <c r="AG4" s="410"/>
      <c r="AH4" s="411"/>
      <c r="AI4" s="396" t="s">
        <v>1261</v>
      </c>
      <c r="AJ4" s="397"/>
      <c r="AK4" s="398"/>
      <c r="AL4" s="290" t="s">
        <v>1254</v>
      </c>
    </row>
    <row r="5" spans="2:38" x14ac:dyDescent="0.25">
      <c r="B5" s="48"/>
      <c r="C5" s="327"/>
      <c r="D5" s="326"/>
      <c r="E5" s="326"/>
      <c r="F5" s="326"/>
      <c r="G5" s="326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22"/>
      <c r="U5" s="289" t="s">
        <v>1231</v>
      </c>
      <c r="V5" s="396" t="s">
        <v>1237</v>
      </c>
      <c r="W5" s="397"/>
      <c r="X5" s="398"/>
      <c r="Y5" s="396" t="s">
        <v>1275</v>
      </c>
      <c r="Z5" s="397"/>
      <c r="AA5" s="398"/>
      <c r="AB5" s="400">
        <v>9</v>
      </c>
      <c r="AC5" s="401"/>
      <c r="AD5" s="402"/>
      <c r="AE5" s="410" t="s">
        <v>1246</v>
      </c>
      <c r="AF5" s="410"/>
      <c r="AG5" s="410"/>
      <c r="AH5" s="411"/>
      <c r="AI5" s="396" t="s">
        <v>1262</v>
      </c>
      <c r="AJ5" s="397"/>
      <c r="AK5" s="398"/>
      <c r="AL5" s="290" t="s">
        <v>1254</v>
      </c>
    </row>
    <row r="6" spans="2:38" x14ac:dyDescent="0.25">
      <c r="B6" s="48"/>
      <c r="C6" s="327"/>
      <c r="D6" s="326"/>
      <c r="E6" s="326"/>
      <c r="F6" s="326"/>
      <c r="G6" s="326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6"/>
      <c r="S6" s="22"/>
      <c r="U6" s="289" t="s">
        <v>1232</v>
      </c>
      <c r="V6" s="396" t="s">
        <v>1238</v>
      </c>
      <c r="W6" s="397"/>
      <c r="X6" s="398"/>
      <c r="Y6" s="286"/>
      <c r="Z6" s="286"/>
      <c r="AA6" s="286"/>
      <c r="AB6" s="286"/>
      <c r="AC6" s="286"/>
      <c r="AD6" s="286"/>
      <c r="AE6" s="410" t="s">
        <v>1247</v>
      </c>
      <c r="AF6" s="410"/>
      <c r="AG6" s="410"/>
      <c r="AH6" s="411"/>
      <c r="AI6" s="396" t="s">
        <v>1263</v>
      </c>
      <c r="AJ6" s="397"/>
      <c r="AK6" s="398"/>
      <c r="AL6" s="290" t="s">
        <v>1254</v>
      </c>
    </row>
    <row r="7" spans="2:38" x14ac:dyDescent="0.25">
      <c r="B7" s="48"/>
      <c r="C7" s="327"/>
      <c r="D7" s="326"/>
      <c r="E7" s="326"/>
      <c r="F7" s="326"/>
      <c r="G7" s="326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22"/>
      <c r="U7" s="289" t="s">
        <v>1233</v>
      </c>
      <c r="V7" s="396" t="s">
        <v>1239</v>
      </c>
      <c r="W7" s="397"/>
      <c r="X7" s="398"/>
      <c r="Y7" s="286"/>
      <c r="Z7" s="286"/>
      <c r="AA7" s="286"/>
      <c r="AB7" s="286"/>
      <c r="AC7" s="286"/>
      <c r="AD7" s="286"/>
      <c r="AE7" s="410" t="s">
        <v>1248</v>
      </c>
      <c r="AF7" s="410"/>
      <c r="AG7" s="410"/>
      <c r="AH7" s="411"/>
      <c r="AI7" s="396" t="s">
        <v>1264</v>
      </c>
      <c r="AJ7" s="397"/>
      <c r="AK7" s="398"/>
      <c r="AL7" s="290" t="s">
        <v>1254</v>
      </c>
    </row>
    <row r="8" spans="2:38" x14ac:dyDescent="0.25">
      <c r="B8" s="58"/>
      <c r="C8" s="327"/>
      <c r="D8" s="326"/>
      <c r="E8" s="326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6"/>
      <c r="S8" s="1"/>
      <c r="U8" s="289" t="s">
        <v>1234</v>
      </c>
      <c r="V8" s="396" t="s">
        <v>1240</v>
      </c>
      <c r="W8" s="397"/>
      <c r="X8" s="398"/>
      <c r="Y8" s="286"/>
      <c r="Z8" s="286"/>
      <c r="AA8" s="286"/>
      <c r="AB8" s="286"/>
      <c r="AC8" s="286"/>
      <c r="AD8" s="286"/>
      <c r="AE8" s="410" t="s">
        <v>1249</v>
      </c>
      <c r="AF8" s="410"/>
      <c r="AG8" s="410"/>
      <c r="AH8" s="411"/>
      <c r="AI8" s="396" t="s">
        <v>1265</v>
      </c>
      <c r="AJ8" s="397"/>
      <c r="AK8" s="398"/>
      <c r="AL8" s="290" t="s">
        <v>1255</v>
      </c>
    </row>
    <row r="9" spans="2:38" x14ac:dyDescent="0.25">
      <c r="B9" s="58"/>
      <c r="C9" s="327"/>
      <c r="D9" s="326"/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6"/>
      <c r="S9" s="1"/>
      <c r="U9" s="289" t="s">
        <v>1235</v>
      </c>
      <c r="V9" s="413" t="s">
        <v>1237</v>
      </c>
      <c r="W9" s="413"/>
      <c r="X9" s="413"/>
      <c r="Y9" s="396" t="s">
        <v>1278</v>
      </c>
      <c r="Z9" s="397"/>
      <c r="AA9" s="398"/>
      <c r="AB9" s="403">
        <v>12</v>
      </c>
      <c r="AC9" s="404"/>
      <c r="AD9" s="405"/>
      <c r="AE9" s="410" t="s">
        <v>1244</v>
      </c>
      <c r="AF9" s="410"/>
      <c r="AG9" s="410"/>
      <c r="AH9" s="411"/>
      <c r="AI9" s="396" t="s">
        <v>1266</v>
      </c>
      <c r="AJ9" s="397"/>
      <c r="AK9" s="398"/>
      <c r="AL9" s="290"/>
    </row>
    <row r="10" spans="2:38" x14ac:dyDescent="0.25">
      <c r="B10" s="1"/>
      <c r="C10" s="327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1"/>
      <c r="U10" s="289" t="s">
        <v>1252</v>
      </c>
      <c r="V10" s="396" t="s">
        <v>1274</v>
      </c>
      <c r="W10" s="397"/>
      <c r="X10" s="398"/>
      <c r="Y10" s="406"/>
      <c r="Z10" s="407"/>
      <c r="AA10" s="407"/>
      <c r="AB10" s="291"/>
      <c r="AC10" s="286"/>
      <c r="AD10" s="286"/>
      <c r="AE10" s="410" t="s">
        <v>1259</v>
      </c>
      <c r="AF10" s="410"/>
      <c r="AG10" s="410"/>
      <c r="AH10" s="411"/>
      <c r="AI10" s="396" t="s">
        <v>1267</v>
      </c>
      <c r="AJ10" s="397"/>
      <c r="AK10" s="398"/>
      <c r="AL10" s="286"/>
    </row>
    <row r="11" spans="2:38" x14ac:dyDescent="0.25">
      <c r="B11" s="48"/>
      <c r="C11" s="328" t="s">
        <v>0</v>
      </c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1"/>
      <c r="U11" s="285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</row>
    <row r="12" spans="2:38" x14ac:dyDescent="0.25">
      <c r="B12" s="48"/>
      <c r="C12" s="327"/>
      <c r="D12" s="325"/>
      <c r="E12" s="325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22"/>
      <c r="U12" s="285"/>
      <c r="V12" s="412" t="s">
        <v>1256</v>
      </c>
      <c r="W12" s="412"/>
      <c r="X12" s="412"/>
      <c r="Y12" s="412"/>
      <c r="Z12" s="412"/>
      <c r="AA12" s="412"/>
      <c r="AB12" s="412"/>
      <c r="AC12" s="412"/>
      <c r="AD12" s="412" t="s">
        <v>1257</v>
      </c>
      <c r="AE12" s="412"/>
      <c r="AF12" s="412"/>
      <c r="AG12" s="412"/>
      <c r="AH12" s="412"/>
      <c r="AI12" s="412"/>
      <c r="AJ12" s="412"/>
      <c r="AK12" s="412"/>
      <c r="AL12" s="412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285"/>
      <c r="V13" s="292" t="s">
        <v>1228</v>
      </c>
      <c r="W13" s="292" t="s">
        <v>1214</v>
      </c>
      <c r="X13" s="292" t="s">
        <v>1277</v>
      </c>
      <c r="Y13" s="292">
        <v>89</v>
      </c>
      <c r="Z13" s="286"/>
      <c r="AA13" s="286"/>
      <c r="AB13" s="286"/>
      <c r="AC13" s="286"/>
      <c r="AD13" s="293" t="s">
        <v>1260</v>
      </c>
      <c r="AE13" s="293" t="s">
        <v>1220</v>
      </c>
      <c r="AF13" s="293" t="s">
        <v>1221</v>
      </c>
      <c r="AG13" s="293" t="s">
        <v>1273</v>
      </c>
      <c r="AH13" s="286"/>
      <c r="AI13" s="286"/>
      <c r="AJ13" s="286"/>
      <c r="AK13" s="286"/>
      <c r="AL13" s="286"/>
    </row>
    <row r="14" spans="2:38" x14ac:dyDescent="0.25">
      <c r="B14" s="22"/>
      <c r="C14" s="321"/>
      <c r="D14" s="322"/>
      <c r="E14" s="322"/>
      <c r="F14" s="322"/>
      <c r="G14" s="323"/>
      <c r="H14" s="1"/>
      <c r="I14" s="226" t="s">
        <v>2</v>
      </c>
      <c r="J14" s="1"/>
      <c r="K14" s="227" t="s">
        <v>1</v>
      </c>
      <c r="L14" s="1"/>
      <c r="M14" s="1"/>
      <c r="N14" s="1"/>
      <c r="O14" s="1"/>
      <c r="P14" s="1"/>
      <c r="Q14" s="1"/>
      <c r="R14" s="1"/>
      <c r="S14" s="284"/>
      <c r="U14" s="285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6"/>
      <c r="AH14" s="286"/>
      <c r="AI14" s="286"/>
      <c r="AJ14" s="286"/>
      <c r="AK14" s="286"/>
      <c r="AL14" s="286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285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</row>
    <row r="16" spans="2:38" x14ac:dyDescent="0.25">
      <c r="U16" s="294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5"/>
      <c r="AG16" s="295"/>
      <c r="AH16" s="295"/>
      <c r="AI16" s="295"/>
      <c r="AJ16" s="295"/>
      <c r="AK16" s="295"/>
      <c r="AL16" s="295"/>
    </row>
    <row r="17" spans="2:38" ht="30" customHeight="1" thickBot="1" x14ac:dyDescent="0.3">
      <c r="B17" s="1"/>
      <c r="C17" s="331" t="s">
        <v>1182</v>
      </c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2"/>
      <c r="Q17" s="332"/>
      <c r="R17" s="332"/>
      <c r="S17" s="239"/>
      <c r="T17" s="238"/>
      <c r="U17" s="285"/>
      <c r="V17" s="394" t="s">
        <v>1183</v>
      </c>
      <c r="W17" s="395"/>
      <c r="X17" s="395"/>
      <c r="Y17" s="395"/>
      <c r="Z17" s="395"/>
      <c r="AA17" s="395"/>
      <c r="AB17" s="395"/>
      <c r="AC17" s="395"/>
      <c r="AD17" s="395"/>
      <c r="AE17" s="395"/>
      <c r="AF17" s="395"/>
      <c r="AG17" s="395"/>
      <c r="AH17" s="395"/>
      <c r="AI17" s="395"/>
      <c r="AJ17" s="395"/>
      <c r="AK17" s="395"/>
      <c r="AL17" s="296"/>
    </row>
    <row r="18" spans="2:38" ht="12.75" customHeight="1" thickTop="1" thickBot="1" x14ac:dyDescent="0.3">
      <c r="B18" s="228"/>
      <c r="C18" s="282" t="s">
        <v>1200</v>
      </c>
      <c r="D18" s="282" t="s">
        <v>1184</v>
      </c>
      <c r="E18" s="282" t="s">
        <v>1185</v>
      </c>
      <c r="F18" s="282" t="s">
        <v>1186</v>
      </c>
      <c r="G18" s="282" t="s">
        <v>988</v>
      </c>
      <c r="H18" s="282" t="s">
        <v>1187</v>
      </c>
      <c r="I18" s="282" t="s">
        <v>1188</v>
      </c>
      <c r="J18" s="282" t="s">
        <v>1189</v>
      </c>
      <c r="K18" s="282" t="s">
        <v>989</v>
      </c>
      <c r="L18" s="282" t="s">
        <v>1190</v>
      </c>
      <c r="M18" s="282" t="s">
        <v>1194</v>
      </c>
      <c r="N18" s="282" t="s">
        <v>1195</v>
      </c>
      <c r="O18" s="282" t="s">
        <v>1196</v>
      </c>
      <c r="P18" s="282" t="s">
        <v>1197</v>
      </c>
      <c r="Q18" s="282" t="s">
        <v>1198</v>
      </c>
      <c r="R18" s="282" t="s">
        <v>1199</v>
      </c>
      <c r="S18" s="1"/>
      <c r="U18" s="228"/>
      <c r="V18" s="282" t="s">
        <v>1200</v>
      </c>
      <c r="W18" s="282" t="s">
        <v>1184</v>
      </c>
      <c r="X18" s="282" t="s">
        <v>1185</v>
      </c>
      <c r="Y18" s="282" t="s">
        <v>1186</v>
      </c>
      <c r="Z18" s="282" t="s">
        <v>988</v>
      </c>
      <c r="AA18" s="282" t="s">
        <v>1187</v>
      </c>
      <c r="AB18" s="282" t="s">
        <v>1188</v>
      </c>
      <c r="AC18" s="282" t="s">
        <v>1189</v>
      </c>
      <c r="AD18" s="282" t="s">
        <v>989</v>
      </c>
      <c r="AE18" s="282" t="s">
        <v>1190</v>
      </c>
      <c r="AF18" s="282" t="s">
        <v>1194</v>
      </c>
      <c r="AG18" s="282" t="s">
        <v>1195</v>
      </c>
      <c r="AH18" s="282" t="s">
        <v>1196</v>
      </c>
      <c r="AI18" s="282" t="s">
        <v>1197</v>
      </c>
      <c r="AJ18" s="282" t="s">
        <v>1198</v>
      </c>
      <c r="AK18" s="282" t="s">
        <v>1199</v>
      </c>
      <c r="AL18" s="286"/>
    </row>
    <row r="19" spans="2:38" ht="15" customHeight="1" x14ac:dyDescent="0.25">
      <c r="B19" s="282" t="s">
        <v>1184</v>
      </c>
      <c r="C19" s="274" t="s">
        <v>1201</v>
      </c>
      <c r="D19" s="275" t="s">
        <v>1202</v>
      </c>
      <c r="E19" s="275" t="s">
        <v>1193</v>
      </c>
      <c r="F19" s="275" t="s">
        <v>1068</v>
      </c>
      <c r="G19" s="275" t="s">
        <v>1203</v>
      </c>
      <c r="H19" s="275" t="s">
        <v>1204</v>
      </c>
      <c r="I19" s="275" t="s">
        <v>1082</v>
      </c>
      <c r="J19" s="275" t="s">
        <v>1205</v>
      </c>
      <c r="K19" s="275" t="s">
        <v>1206</v>
      </c>
      <c r="L19" s="275" t="s">
        <v>1062</v>
      </c>
      <c r="M19" s="275" t="s">
        <v>1207</v>
      </c>
      <c r="N19" s="275" t="s">
        <v>1062</v>
      </c>
      <c r="O19" s="275" t="s">
        <v>1203</v>
      </c>
      <c r="P19" s="275" t="s">
        <v>1208</v>
      </c>
      <c r="Q19" s="275" t="s">
        <v>1062</v>
      </c>
      <c r="R19" s="276" t="s">
        <v>1209</v>
      </c>
      <c r="S19" s="1"/>
      <c r="U19" s="282" t="s">
        <v>1184</v>
      </c>
      <c r="V19" s="274" t="s">
        <v>1201</v>
      </c>
      <c r="W19" s="275" t="s">
        <v>1099</v>
      </c>
      <c r="X19" s="275" t="s">
        <v>1193</v>
      </c>
      <c r="Y19" s="275" t="s">
        <v>1276</v>
      </c>
      <c r="Z19" s="275" t="s">
        <v>1203</v>
      </c>
      <c r="AA19" s="275" t="s">
        <v>1204</v>
      </c>
      <c r="AB19" s="275" t="s">
        <v>1272</v>
      </c>
      <c r="AC19" s="275" t="s">
        <v>1258</v>
      </c>
      <c r="AD19" s="275" t="s">
        <v>1206</v>
      </c>
      <c r="AE19" s="275" t="s">
        <v>1062</v>
      </c>
      <c r="AF19" s="275" t="s">
        <v>1207</v>
      </c>
      <c r="AG19" s="275" t="s">
        <v>1062</v>
      </c>
      <c r="AH19" s="275" t="s">
        <v>1203</v>
      </c>
      <c r="AI19" s="275" t="s">
        <v>1208</v>
      </c>
      <c r="AJ19" s="275" t="s">
        <v>1062</v>
      </c>
      <c r="AK19" s="276" t="s">
        <v>1269</v>
      </c>
      <c r="AL19" s="286"/>
    </row>
    <row r="20" spans="2:38" ht="15" customHeight="1" x14ac:dyDescent="0.25">
      <c r="B20" s="282" t="s">
        <v>1185</v>
      </c>
      <c r="C20" s="277" t="s">
        <v>1082</v>
      </c>
      <c r="D20" s="233" t="s">
        <v>1210</v>
      </c>
      <c r="E20" s="233" t="s">
        <v>1211</v>
      </c>
      <c r="F20" s="233" t="s">
        <v>1212</v>
      </c>
      <c r="G20" s="233" t="s">
        <v>1203</v>
      </c>
      <c r="H20" s="233" t="s">
        <v>1204</v>
      </c>
      <c r="I20" s="233" t="s">
        <v>1213</v>
      </c>
      <c r="J20" s="233" t="s">
        <v>1214</v>
      </c>
      <c r="K20" s="233" t="s">
        <v>1206</v>
      </c>
      <c r="L20" s="233" t="s">
        <v>1062</v>
      </c>
      <c r="M20" s="233" t="s">
        <v>1207</v>
      </c>
      <c r="N20" s="233" t="s">
        <v>1062</v>
      </c>
      <c r="O20" s="233" t="s">
        <v>1203</v>
      </c>
      <c r="P20" s="233" t="s">
        <v>1208</v>
      </c>
      <c r="Q20" s="233" t="s">
        <v>1061</v>
      </c>
      <c r="R20" s="278" t="s">
        <v>1209</v>
      </c>
      <c r="S20" s="1"/>
      <c r="U20" s="282" t="s">
        <v>1185</v>
      </c>
      <c r="V20" s="277" t="s">
        <v>1082</v>
      </c>
      <c r="W20" s="233" t="s">
        <v>1210</v>
      </c>
      <c r="X20" s="233" t="s">
        <v>1211</v>
      </c>
      <c r="Y20" s="233" t="s">
        <v>1212</v>
      </c>
      <c r="Z20" s="233" t="s">
        <v>1203</v>
      </c>
      <c r="AA20" s="233" t="s">
        <v>1204</v>
      </c>
      <c r="AB20" s="233" t="s">
        <v>1270</v>
      </c>
      <c r="AC20" s="233" t="s">
        <v>1214</v>
      </c>
      <c r="AD20" s="233" t="s">
        <v>1206</v>
      </c>
      <c r="AE20" s="233" t="s">
        <v>1062</v>
      </c>
      <c r="AF20" s="233" t="s">
        <v>1207</v>
      </c>
      <c r="AG20" s="233" t="s">
        <v>1062</v>
      </c>
      <c r="AH20" s="233" t="s">
        <v>1203</v>
      </c>
      <c r="AI20" s="233" t="s">
        <v>1208</v>
      </c>
      <c r="AJ20" s="233" t="s">
        <v>1061</v>
      </c>
      <c r="AK20" s="278" t="s">
        <v>1269</v>
      </c>
      <c r="AL20" s="286"/>
    </row>
    <row r="21" spans="2:38" ht="15" customHeight="1" x14ac:dyDescent="0.25">
      <c r="B21" s="282" t="s">
        <v>1186</v>
      </c>
      <c r="C21" s="277" t="s">
        <v>1082</v>
      </c>
      <c r="D21" s="233" t="s">
        <v>1210</v>
      </c>
      <c r="E21" s="233" t="s">
        <v>1054</v>
      </c>
      <c r="F21" s="233" t="s">
        <v>1063</v>
      </c>
      <c r="G21" s="233" t="s">
        <v>1215</v>
      </c>
      <c r="H21" s="233" t="s">
        <v>1205</v>
      </c>
      <c r="I21" s="233" t="s">
        <v>1216</v>
      </c>
      <c r="J21" s="233" t="s">
        <v>1217</v>
      </c>
      <c r="K21" s="233" t="s">
        <v>1057</v>
      </c>
      <c r="L21" s="233" t="s">
        <v>1218</v>
      </c>
      <c r="M21" s="233" t="s">
        <v>1201</v>
      </c>
      <c r="N21" s="233" t="s">
        <v>1202</v>
      </c>
      <c r="O21" s="233" t="s">
        <v>1219</v>
      </c>
      <c r="P21" s="233" t="s">
        <v>1068</v>
      </c>
      <c r="Q21" s="233" t="s">
        <v>1220</v>
      </c>
      <c r="R21" s="278" t="s">
        <v>1202</v>
      </c>
      <c r="S21" s="1"/>
      <c r="U21" s="282" t="s">
        <v>1186</v>
      </c>
      <c r="V21" s="277" t="s">
        <v>1082</v>
      </c>
      <c r="W21" s="233" t="s">
        <v>1210</v>
      </c>
      <c r="X21" s="233" t="s">
        <v>1054</v>
      </c>
      <c r="Y21" s="233" t="s">
        <v>1063</v>
      </c>
      <c r="Z21" s="233" t="s">
        <v>1215</v>
      </c>
      <c r="AA21" s="233" t="s">
        <v>1205</v>
      </c>
      <c r="AB21" s="233" t="s">
        <v>1123</v>
      </c>
      <c r="AC21" s="233" t="s">
        <v>1224</v>
      </c>
      <c r="AD21" s="233" t="s">
        <v>1057</v>
      </c>
      <c r="AE21" s="233" t="s">
        <v>1218</v>
      </c>
      <c r="AF21" s="233" t="s">
        <v>1201</v>
      </c>
      <c r="AG21" s="233" t="s">
        <v>1099</v>
      </c>
      <c r="AH21" s="233" t="s">
        <v>1219</v>
      </c>
      <c r="AI21" s="233" t="s">
        <v>1276</v>
      </c>
      <c r="AJ21" s="233" t="s">
        <v>1220</v>
      </c>
      <c r="AK21" s="278" t="s">
        <v>1099</v>
      </c>
      <c r="AL21" s="286"/>
    </row>
    <row r="22" spans="2:38" ht="15" customHeight="1" x14ac:dyDescent="0.25">
      <c r="B22" s="282" t="s">
        <v>988</v>
      </c>
      <c r="C22" s="277" t="s">
        <v>1131</v>
      </c>
      <c r="D22" s="233" t="s">
        <v>1221</v>
      </c>
      <c r="E22" s="233" t="s">
        <v>1203</v>
      </c>
      <c r="F22" s="233" t="s">
        <v>1204</v>
      </c>
      <c r="G22" s="233" t="s">
        <v>1213</v>
      </c>
      <c r="H22" s="233" t="s">
        <v>1214</v>
      </c>
      <c r="I22" s="233" t="s">
        <v>1206</v>
      </c>
      <c r="J22" s="233" t="s">
        <v>1062</v>
      </c>
      <c r="K22" s="233" t="s">
        <v>1207</v>
      </c>
      <c r="L22" s="233" t="s">
        <v>1062</v>
      </c>
      <c r="M22" s="233" t="s">
        <v>1203</v>
      </c>
      <c r="N22" s="233" t="s">
        <v>1208</v>
      </c>
      <c r="O22" s="233" t="s">
        <v>1085</v>
      </c>
      <c r="P22" s="233" t="s">
        <v>1209</v>
      </c>
      <c r="Q22" s="233" t="s">
        <v>1082</v>
      </c>
      <c r="R22" s="278" t="s">
        <v>1210</v>
      </c>
      <c r="S22" s="1"/>
      <c r="U22" s="282" t="s">
        <v>988</v>
      </c>
      <c r="V22" s="277" t="s">
        <v>1131</v>
      </c>
      <c r="W22" s="233" t="s">
        <v>1279</v>
      </c>
      <c r="X22" s="233" t="s">
        <v>1203</v>
      </c>
      <c r="Y22" s="233" t="s">
        <v>1204</v>
      </c>
      <c r="Z22" s="233" t="s">
        <v>1270</v>
      </c>
      <c r="AA22" s="233" t="s">
        <v>1214</v>
      </c>
      <c r="AB22" s="233" t="s">
        <v>1206</v>
      </c>
      <c r="AC22" s="233" t="s">
        <v>1062</v>
      </c>
      <c r="AD22" s="233" t="s">
        <v>1207</v>
      </c>
      <c r="AE22" s="233" t="s">
        <v>1062</v>
      </c>
      <c r="AF22" s="233" t="s">
        <v>1203</v>
      </c>
      <c r="AG22" s="233" t="s">
        <v>1208</v>
      </c>
      <c r="AH22" s="233" t="s">
        <v>1085</v>
      </c>
      <c r="AI22" s="233" t="s">
        <v>1269</v>
      </c>
      <c r="AJ22" s="233" t="s">
        <v>1082</v>
      </c>
      <c r="AK22" s="278" t="s">
        <v>1210</v>
      </c>
      <c r="AL22" s="286"/>
    </row>
    <row r="23" spans="2:38" ht="15" customHeight="1" x14ac:dyDescent="0.25">
      <c r="B23" s="282" t="s">
        <v>1187</v>
      </c>
      <c r="C23" s="277" t="s">
        <v>1054</v>
      </c>
      <c r="D23" s="233" t="s">
        <v>1222</v>
      </c>
      <c r="E23" s="233" t="s">
        <v>1223</v>
      </c>
      <c r="F23" s="233" t="s">
        <v>1204</v>
      </c>
      <c r="G23" s="233" t="s">
        <v>1061</v>
      </c>
      <c r="H23" s="233" t="s">
        <v>1224</v>
      </c>
      <c r="I23" s="233" t="s">
        <v>1206</v>
      </c>
      <c r="J23" s="233" t="s">
        <v>1062</v>
      </c>
      <c r="K23" s="233" t="s">
        <v>1207</v>
      </c>
      <c r="L23" s="233" t="s">
        <v>1062</v>
      </c>
      <c r="M23" s="233" t="s">
        <v>1223</v>
      </c>
      <c r="N23" s="233" t="s">
        <v>1208</v>
      </c>
      <c r="O23" s="233" t="s">
        <v>1094</v>
      </c>
      <c r="P23" s="233" t="s">
        <v>1209</v>
      </c>
      <c r="Q23" s="233" t="s">
        <v>1082</v>
      </c>
      <c r="R23" s="278" t="s">
        <v>1210</v>
      </c>
      <c r="S23" s="1"/>
      <c r="U23" s="282" t="s">
        <v>1187</v>
      </c>
      <c r="V23" s="277" t="s">
        <v>1054</v>
      </c>
      <c r="W23" s="233" t="s">
        <v>1222</v>
      </c>
      <c r="X23" s="233" t="s">
        <v>1223</v>
      </c>
      <c r="Y23" s="233" t="s">
        <v>1204</v>
      </c>
      <c r="Z23" s="233" t="s">
        <v>1271</v>
      </c>
      <c r="AA23" s="233" t="s">
        <v>1117</v>
      </c>
      <c r="AB23" s="233" t="s">
        <v>1206</v>
      </c>
      <c r="AC23" s="233" t="s">
        <v>1062</v>
      </c>
      <c r="AD23" s="233" t="s">
        <v>1207</v>
      </c>
      <c r="AE23" s="233" t="s">
        <v>1062</v>
      </c>
      <c r="AF23" s="233" t="s">
        <v>1223</v>
      </c>
      <c r="AG23" s="233" t="s">
        <v>1208</v>
      </c>
      <c r="AH23" s="233" t="s">
        <v>1094</v>
      </c>
      <c r="AI23" s="233" t="s">
        <v>1269</v>
      </c>
      <c r="AJ23" s="233" t="s">
        <v>1082</v>
      </c>
      <c r="AK23" s="278" t="s">
        <v>1210</v>
      </c>
      <c r="AL23" s="286"/>
    </row>
    <row r="24" spans="2:38" ht="15" customHeight="1" x14ac:dyDescent="0.25">
      <c r="B24" s="282" t="s">
        <v>1188</v>
      </c>
      <c r="C24" s="277" t="s">
        <v>1054</v>
      </c>
      <c r="D24" s="233" t="s">
        <v>1192</v>
      </c>
      <c r="E24" s="233" t="s">
        <v>1206</v>
      </c>
      <c r="F24" s="233" t="s">
        <v>1062</v>
      </c>
      <c r="G24" s="233" t="s">
        <v>1067</v>
      </c>
      <c r="H24" s="233" t="s">
        <v>1062</v>
      </c>
      <c r="I24" s="233" t="s">
        <v>1203</v>
      </c>
      <c r="J24" s="233" t="s">
        <v>1204</v>
      </c>
      <c r="K24" s="233" t="s">
        <v>1225</v>
      </c>
      <c r="L24" s="233" t="s">
        <v>1136</v>
      </c>
      <c r="M24" s="233" t="s">
        <v>1206</v>
      </c>
      <c r="N24" s="233" t="s">
        <v>1062</v>
      </c>
      <c r="O24" s="233" t="s">
        <v>1207</v>
      </c>
      <c r="P24" s="233" t="s">
        <v>1062</v>
      </c>
      <c r="Q24" s="233" t="s">
        <v>1203</v>
      </c>
      <c r="R24" s="278" t="s">
        <v>1208</v>
      </c>
      <c r="S24" s="1"/>
      <c r="U24" s="282" t="s">
        <v>1188</v>
      </c>
      <c r="V24" s="277" t="s">
        <v>1054</v>
      </c>
      <c r="W24" s="233" t="s">
        <v>1192</v>
      </c>
      <c r="X24" s="233" t="s">
        <v>1206</v>
      </c>
      <c r="Y24" s="233" t="s">
        <v>1062</v>
      </c>
      <c r="Z24" s="233" t="s">
        <v>1067</v>
      </c>
      <c r="AA24" s="233" t="s">
        <v>1062</v>
      </c>
      <c r="AB24" s="233" t="s">
        <v>1203</v>
      </c>
      <c r="AC24" s="233" t="s">
        <v>1204</v>
      </c>
      <c r="AD24" s="233" t="s">
        <v>1225</v>
      </c>
      <c r="AE24" s="233" t="s">
        <v>1136</v>
      </c>
      <c r="AF24" s="233" t="s">
        <v>1206</v>
      </c>
      <c r="AG24" s="233" t="s">
        <v>1062</v>
      </c>
      <c r="AH24" s="233" t="s">
        <v>1207</v>
      </c>
      <c r="AI24" s="233" t="s">
        <v>1062</v>
      </c>
      <c r="AJ24" s="233" t="s">
        <v>1203</v>
      </c>
      <c r="AK24" s="278" t="s">
        <v>1208</v>
      </c>
      <c r="AL24" s="286"/>
    </row>
    <row r="25" spans="2:38" ht="15" customHeight="1" x14ac:dyDescent="0.25">
      <c r="B25" s="282" t="s">
        <v>1189</v>
      </c>
      <c r="C25" s="277" t="s">
        <v>1064</v>
      </c>
      <c r="D25" s="233" t="s">
        <v>1209</v>
      </c>
      <c r="E25" s="233" t="s">
        <v>1082</v>
      </c>
      <c r="F25" s="233" t="s">
        <v>1210</v>
      </c>
      <c r="G25" s="233" t="s">
        <v>1211</v>
      </c>
      <c r="H25" s="233" t="s">
        <v>1118</v>
      </c>
      <c r="I25" s="233" t="s">
        <v>1215</v>
      </c>
      <c r="J25" s="233" t="s">
        <v>1205</v>
      </c>
      <c r="K25" s="233" t="s">
        <v>1216</v>
      </c>
      <c r="L25" s="233" t="s">
        <v>1068</v>
      </c>
      <c r="M25" s="233" t="s">
        <v>1094</v>
      </c>
      <c r="N25" s="233" t="s">
        <v>1088</v>
      </c>
      <c r="O25" s="233" t="s">
        <v>1206</v>
      </c>
      <c r="P25" s="233" t="s">
        <v>1062</v>
      </c>
      <c r="Q25" s="233" t="s">
        <v>1067</v>
      </c>
      <c r="R25" s="278" t="s">
        <v>1062</v>
      </c>
      <c r="S25" s="1"/>
      <c r="U25" s="282" t="s">
        <v>1189</v>
      </c>
      <c r="V25" s="277" t="s">
        <v>1064</v>
      </c>
      <c r="W25" s="233" t="s">
        <v>1269</v>
      </c>
      <c r="X25" s="233" t="s">
        <v>1082</v>
      </c>
      <c r="Y25" s="233" t="s">
        <v>1210</v>
      </c>
      <c r="Z25" s="233" t="s">
        <v>1211</v>
      </c>
      <c r="AA25" s="233" t="s">
        <v>1118</v>
      </c>
      <c r="AB25" s="233" t="s">
        <v>1215</v>
      </c>
      <c r="AC25" s="233" t="s">
        <v>1205</v>
      </c>
      <c r="AD25" s="233" t="s">
        <v>1123</v>
      </c>
      <c r="AE25" s="283" t="s">
        <v>1224</v>
      </c>
      <c r="AF25" s="233" t="s">
        <v>1094</v>
      </c>
      <c r="AG25" s="233" t="s">
        <v>1088</v>
      </c>
      <c r="AH25" s="233" t="s">
        <v>1206</v>
      </c>
      <c r="AI25" s="233" t="s">
        <v>1062</v>
      </c>
      <c r="AJ25" s="233" t="s">
        <v>1067</v>
      </c>
      <c r="AK25" s="278" t="s">
        <v>1062</v>
      </c>
      <c r="AL25" s="286"/>
    </row>
    <row r="26" spans="2:38" ht="15" customHeight="1" x14ac:dyDescent="0.25">
      <c r="B26" s="282" t="s">
        <v>989</v>
      </c>
      <c r="C26" s="277" t="s">
        <v>1215</v>
      </c>
      <c r="D26" s="233" t="s">
        <v>1214</v>
      </c>
      <c r="E26" s="233" t="s">
        <v>1225</v>
      </c>
      <c r="F26" s="233" t="s">
        <v>1136</v>
      </c>
      <c r="G26" s="233" t="s">
        <v>1057</v>
      </c>
      <c r="H26" s="233" t="s">
        <v>1191</v>
      </c>
      <c r="I26" s="233" t="s">
        <v>1206</v>
      </c>
      <c r="J26" s="233" t="s">
        <v>1062</v>
      </c>
      <c r="K26" s="233" t="s">
        <v>1067</v>
      </c>
      <c r="L26" s="233" t="s">
        <v>1062</v>
      </c>
      <c r="M26" s="233" t="s">
        <v>1226</v>
      </c>
      <c r="N26" s="233" t="s">
        <v>1227</v>
      </c>
      <c r="O26" s="233" t="s">
        <v>1225</v>
      </c>
      <c r="P26" s="233" t="s">
        <v>1136</v>
      </c>
      <c r="Q26" s="233" t="s">
        <v>1057</v>
      </c>
      <c r="R26" s="278" t="s">
        <v>1064</v>
      </c>
      <c r="S26" s="1"/>
      <c r="U26" s="282" t="s">
        <v>989</v>
      </c>
      <c r="V26" s="277" t="s">
        <v>1215</v>
      </c>
      <c r="W26" s="233" t="s">
        <v>1214</v>
      </c>
      <c r="X26" s="233" t="s">
        <v>1225</v>
      </c>
      <c r="Y26" s="233" t="s">
        <v>1136</v>
      </c>
      <c r="Z26" s="233" t="s">
        <v>1057</v>
      </c>
      <c r="AA26" s="233" t="s">
        <v>1191</v>
      </c>
      <c r="AB26" s="233" t="s">
        <v>1206</v>
      </c>
      <c r="AC26" s="233" t="s">
        <v>1062</v>
      </c>
      <c r="AD26" s="233" t="s">
        <v>1067</v>
      </c>
      <c r="AE26" s="233" t="s">
        <v>1062</v>
      </c>
      <c r="AF26" s="233" t="s">
        <v>1226</v>
      </c>
      <c r="AG26" s="233" t="s">
        <v>1227</v>
      </c>
      <c r="AH26" s="233" t="s">
        <v>1225</v>
      </c>
      <c r="AI26" s="233" t="s">
        <v>1136</v>
      </c>
      <c r="AJ26" s="233" t="s">
        <v>1057</v>
      </c>
      <c r="AK26" s="278" t="s">
        <v>1064</v>
      </c>
      <c r="AL26" s="286"/>
    </row>
    <row r="27" spans="2:38" ht="15" customHeight="1" thickBot="1" x14ac:dyDescent="0.3">
      <c r="B27" s="282" t="s">
        <v>1190</v>
      </c>
      <c r="C27" s="279" t="s">
        <v>1206</v>
      </c>
      <c r="D27" s="280" t="s">
        <v>1062</v>
      </c>
      <c r="E27" s="280" t="s">
        <v>1067</v>
      </c>
      <c r="F27" s="280" t="s">
        <v>1062</v>
      </c>
      <c r="G27" s="280" t="s">
        <v>1226</v>
      </c>
      <c r="H27" s="280" t="s">
        <v>1205</v>
      </c>
      <c r="I27" s="280" t="s">
        <v>1225</v>
      </c>
      <c r="J27" s="280" t="s">
        <v>1136</v>
      </c>
      <c r="K27" s="280" t="s">
        <v>1228</v>
      </c>
      <c r="L27" s="280" t="s">
        <v>1214</v>
      </c>
      <c r="M27" s="280" t="s">
        <v>1228</v>
      </c>
      <c r="N27" s="280" t="s">
        <v>1220</v>
      </c>
      <c r="O27" s="280" t="s">
        <v>1229</v>
      </c>
      <c r="P27" s="280" t="s">
        <v>1062</v>
      </c>
      <c r="Q27" s="280" t="s">
        <v>1052</v>
      </c>
      <c r="R27" s="281" t="s">
        <v>1052</v>
      </c>
      <c r="S27" s="1"/>
      <c r="U27" s="282" t="s">
        <v>1190</v>
      </c>
      <c r="V27" s="279" t="s">
        <v>1206</v>
      </c>
      <c r="W27" s="280" t="s">
        <v>1062</v>
      </c>
      <c r="X27" s="280" t="s">
        <v>1067</v>
      </c>
      <c r="Y27" s="280" t="s">
        <v>1062</v>
      </c>
      <c r="Z27" s="280" t="s">
        <v>1226</v>
      </c>
      <c r="AA27" s="280" t="s">
        <v>1205</v>
      </c>
      <c r="AB27" s="280" t="s">
        <v>1225</v>
      </c>
      <c r="AC27" s="280" t="s">
        <v>1136</v>
      </c>
      <c r="AD27" s="280" t="s">
        <v>1228</v>
      </c>
      <c r="AE27" s="280" t="s">
        <v>1214</v>
      </c>
      <c r="AF27" s="280" t="s">
        <v>1277</v>
      </c>
      <c r="AG27" s="280">
        <v>89</v>
      </c>
      <c r="AH27" s="280" t="s">
        <v>1229</v>
      </c>
      <c r="AI27" s="280" t="s">
        <v>1062</v>
      </c>
      <c r="AJ27" s="280" t="s">
        <v>1052</v>
      </c>
      <c r="AK27" s="281" t="s">
        <v>1052</v>
      </c>
      <c r="AL27" s="286"/>
    </row>
    <row r="28" spans="2:38" ht="12.75" customHeight="1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U28" s="285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  <c r="AG28" s="286"/>
      <c r="AH28" s="286"/>
      <c r="AI28" s="286"/>
      <c r="AJ28" s="286"/>
      <c r="AK28" s="286"/>
      <c r="AL28" s="286"/>
    </row>
    <row r="29" spans="2:38" ht="12.75" customHeight="1" x14ac:dyDescent="0.25"/>
    <row r="30" spans="2:38" ht="12.75" customHeight="1" x14ac:dyDescent="0.25"/>
    <row r="31" spans="2:38" ht="12.75" customHeight="1" x14ac:dyDescent="0.25"/>
    <row r="32" spans="2:38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sheetProtection password="FD37" sheet="1" objects="1" scenarios="1"/>
  <mergeCells count="38">
    <mergeCell ref="V12:AC12"/>
    <mergeCell ref="AD12:AL12"/>
    <mergeCell ref="AE10:AH10"/>
    <mergeCell ref="AI10:AK10"/>
    <mergeCell ref="AE8:AH8"/>
    <mergeCell ref="V9:X9"/>
    <mergeCell ref="AI9:AK9"/>
    <mergeCell ref="Y9:AA9"/>
    <mergeCell ref="AE9:AH9"/>
    <mergeCell ref="V10:X10"/>
    <mergeCell ref="AI3:AK3"/>
    <mergeCell ref="AI4:AK4"/>
    <mergeCell ref="AI5:AK5"/>
    <mergeCell ref="AI6:AK6"/>
    <mergeCell ref="AE4:AH4"/>
    <mergeCell ref="AE5:AH5"/>
    <mergeCell ref="AE6:AH6"/>
    <mergeCell ref="V3:X3"/>
    <mergeCell ref="Y3:AA3"/>
    <mergeCell ref="AF3:AH3"/>
    <mergeCell ref="AE7:AH7"/>
    <mergeCell ref="V8:X8"/>
    <mergeCell ref="C11:R12"/>
    <mergeCell ref="C14:G14"/>
    <mergeCell ref="C17:R17"/>
    <mergeCell ref="C3:R10"/>
    <mergeCell ref="V17:AK17"/>
    <mergeCell ref="V4:X4"/>
    <mergeCell ref="V5:X5"/>
    <mergeCell ref="V6:X6"/>
    <mergeCell ref="V7:X7"/>
    <mergeCell ref="AB3:AD3"/>
    <mergeCell ref="AB5:AD5"/>
    <mergeCell ref="AB9:AD9"/>
    <mergeCell ref="Y10:AA10"/>
    <mergeCell ref="Y5:AA5"/>
    <mergeCell ref="AI7:AK7"/>
    <mergeCell ref="AI8:AK8"/>
  </mergeCells>
  <conditionalFormatting sqref="V19:AK27">
    <cfRule type="expression" dxfId="0" priority="1">
      <formula>C19&lt;&gt;V19</formula>
    </cfRule>
  </conditionalFormatting>
  <dataValidations count="1">
    <dataValidation showInputMessage="1" showErrorMessage="1" sqref="S2:S15 G2:R2 K14 I14 B2:F13 G13:R13 B14:C15 D15:R15"/>
  </dataValidations>
  <hyperlinks>
    <hyperlink ref="C1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  <vt:lpstr>ANTILAG|LAUNCH CONTROL MODDER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2013-07-23T21:03:30Z</dcterms:modified>
</cp:coreProperties>
</file>