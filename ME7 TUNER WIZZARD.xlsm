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embeddings/oleObject2.bin" ContentType="application/vnd.openxmlformats-officedocument.oleObject"/>
  <Override PartName="/xl/drawings/drawing8.xml" ContentType="application/vnd.openxmlformats-officedocument.drawing+xml"/>
  <Override PartName="/xl/embeddings/oleObject3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YandexDisk\Car\VW Passat B5GP z1ck\ECU\install\ME7 TUNER WIZZARD\"/>
    </mc:Choice>
  </mc:AlternateContent>
  <xr:revisionPtr revIDLastSave="0" documentId="13_ncr:1_{1E16725E-C44B-4FA4-9AEF-4E29604AAB77}" xr6:coauthVersionLast="47" xr6:coauthVersionMax="47" xr10:uidLastSave="{00000000-0000-0000-0000-000000000000}"/>
  <workbookProtection workbookAlgorithmName="SHA-512" workbookHashValue="crKENvbnWGKkbXxFqF0ZIDrtwyy0vy2MI99zT7vhS/0vvXHkQhrAzcb8aaAk2fTuzfzg1JBWjByK4H+xRR78tQ==" workbookSaltValue="avZMqE5aGKcVFSFJtD73Cw==" workbookSpinCount="100000" lockStructure="1"/>
  <bookViews>
    <workbookView xWindow="-120" yWindow="-120" windowWidth="29040" windowHeight="15840" tabRatio="892" firstSheet="1" activeTab="1" xr2:uid="{00000000-000D-0000-FFFF-FFFF00000000}"/>
  </bookViews>
  <sheets>
    <sheet name="ME7 TUNER WIZZARD SETTINGS" sheetId="156" state="hidden" r:id="rId1"/>
    <sheet name="TITLE" sheetId="258" r:id="rId2"/>
    <sheet name="EEPROM MODDER" sheetId="252" r:id="rId3"/>
    <sheet name="CODEWORDS CONVERTER" sheetId="254" r:id="rId4"/>
    <sheet name="INJECTORS DATABASE" sheetId="240" r:id="rId5"/>
    <sheet name="KRKTE CALCULATOR" sheetId="238" r:id="rId6"/>
    <sheet name="FKKVS FIXER" sheetId="248" r:id="rId7"/>
    <sheet name="KFMIRL ADVISER" sheetId="2" r:id="rId8"/>
    <sheet name="KFMIOP CALCULATOR (16x16|11x16)" sheetId="106" r:id="rId9"/>
    <sheet name="KFMIOP CALCULATOR (12x16|11x16)" sheetId="224" r:id="rId10"/>
    <sheet name="KFZWOP|2 CONVERTER" sheetId="246" r:id="rId11"/>
    <sheet name="LDRXN|LDRXNZK CALCULATOR" sheetId="226" r:id="rId12"/>
    <sheet name="ANTILAG|LAUNCH CONTROL MODDER" sheetId="256" r:id="rId13"/>
  </sheets>
  <functionGroups builtInGroupCount="19"/>
  <calcPr calcId="181029"/>
</workbook>
</file>

<file path=xl/calcChain.xml><?xml version="1.0" encoding="utf-8"?>
<calcChain xmlns="http://schemas.openxmlformats.org/spreadsheetml/2006/main">
  <c r="H21" i="258" l="1"/>
  <c r="H20" i="258" l="1"/>
  <c r="Q38" i="248" l="1"/>
  <c r="R38" i="248"/>
  <c r="S38" i="248"/>
  <c r="E38" i="248"/>
  <c r="F38" i="248"/>
  <c r="G38" i="248"/>
  <c r="H38" i="248"/>
  <c r="I38" i="248"/>
  <c r="J38" i="248"/>
  <c r="K38" i="248"/>
  <c r="L38" i="248"/>
  <c r="M38" i="248"/>
  <c r="N38" i="248"/>
  <c r="O38" i="248"/>
  <c r="P38" i="248"/>
  <c r="D38" i="248"/>
  <c r="C40" i="248"/>
  <c r="C41" i="248"/>
  <c r="C42" i="248"/>
  <c r="C43" i="248"/>
  <c r="C44" i="248"/>
  <c r="C45" i="248"/>
  <c r="C46" i="248"/>
  <c r="C47" i="248"/>
  <c r="C48" i="248"/>
  <c r="C49" i="248"/>
  <c r="C50" i="248"/>
  <c r="C51" i="248"/>
  <c r="C52" i="248"/>
  <c r="C53" i="248"/>
  <c r="C54" i="248"/>
  <c r="C39" i="248"/>
  <c r="D28" i="238" l="1"/>
  <c r="H28" i="238" s="1"/>
  <c r="D4" i="2" l="1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33" i="246" l="1"/>
  <c r="S33" i="246"/>
  <c r="R33" i="246"/>
  <c r="Q33" i="246"/>
  <c r="P33" i="246"/>
  <c r="O33" i="246"/>
  <c r="N33" i="246"/>
  <c r="M33" i="246"/>
  <c r="L33" i="246"/>
  <c r="K33" i="246"/>
  <c r="J33" i="246"/>
  <c r="I33" i="246"/>
  <c r="H33" i="246"/>
  <c r="G33" i="246"/>
  <c r="F33" i="246"/>
  <c r="E33" i="246"/>
  <c r="CX44" i="106"/>
  <c r="CX45" i="106"/>
  <c r="CX46" i="106"/>
  <c r="CX47" i="106"/>
  <c r="CX48" i="106"/>
  <c r="CX49" i="106"/>
  <c r="CX50" i="106"/>
  <c r="CX51" i="106"/>
  <c r="CX52" i="106"/>
  <c r="CX53" i="106"/>
  <c r="CX54" i="106"/>
  <c r="CX55" i="106"/>
  <c r="CX56" i="106"/>
  <c r="CX57" i="106"/>
  <c r="CX58" i="106"/>
  <c r="CX59" i="106"/>
  <c r="CW44" i="106"/>
  <c r="CW45" i="106"/>
  <c r="CW46" i="106"/>
  <c r="CW47" i="106"/>
  <c r="CW48" i="106"/>
  <c r="CW49" i="106"/>
  <c r="CW50" i="106"/>
  <c r="CW51" i="106"/>
  <c r="CW52" i="106"/>
  <c r="CW53" i="106"/>
  <c r="CW54" i="106"/>
  <c r="CW55" i="106"/>
  <c r="CW56" i="106"/>
  <c r="CW57" i="106"/>
  <c r="CW58" i="106"/>
  <c r="CW59" i="106"/>
  <c r="CV44" i="106"/>
  <c r="CV45" i="106"/>
  <c r="CV46" i="106"/>
  <c r="CV47" i="106"/>
  <c r="CV48" i="106"/>
  <c r="CV49" i="106"/>
  <c r="CV50" i="106"/>
  <c r="CV51" i="106"/>
  <c r="CV52" i="106"/>
  <c r="CV53" i="106"/>
  <c r="CV54" i="106"/>
  <c r="CV55" i="106"/>
  <c r="CV56" i="106"/>
  <c r="CV57" i="106"/>
  <c r="CV58" i="106"/>
  <c r="CV59" i="106"/>
  <c r="CU44" i="106"/>
  <c r="CU45" i="106"/>
  <c r="CU46" i="106"/>
  <c r="CU47" i="106"/>
  <c r="CU48" i="106"/>
  <c r="CU49" i="106"/>
  <c r="CU50" i="106"/>
  <c r="CU51" i="106"/>
  <c r="CU52" i="106"/>
  <c r="CU53" i="106"/>
  <c r="CU54" i="106"/>
  <c r="CU55" i="106"/>
  <c r="CU56" i="106"/>
  <c r="CU57" i="106"/>
  <c r="CU58" i="106"/>
  <c r="CU59" i="106"/>
  <c r="CT44" i="106"/>
  <c r="CT45" i="106"/>
  <c r="CT46" i="106"/>
  <c r="CT47" i="106"/>
  <c r="CT48" i="106"/>
  <c r="CT49" i="106"/>
  <c r="CT50" i="106"/>
  <c r="CT51" i="106"/>
  <c r="CT52" i="106"/>
  <c r="CT53" i="106"/>
  <c r="CT54" i="106"/>
  <c r="CT55" i="106"/>
  <c r="CT56" i="106"/>
  <c r="CT57" i="106"/>
  <c r="CT58" i="106"/>
  <c r="CT59" i="106"/>
  <c r="CS44" i="106"/>
  <c r="CS45" i="106"/>
  <c r="CS46" i="106"/>
  <c r="CS47" i="106"/>
  <c r="CS48" i="106"/>
  <c r="CS49" i="106"/>
  <c r="CS50" i="106"/>
  <c r="CS51" i="106"/>
  <c r="CS52" i="106"/>
  <c r="CS53" i="106"/>
  <c r="CS54" i="106"/>
  <c r="CS55" i="106"/>
  <c r="CS56" i="106"/>
  <c r="CS57" i="106"/>
  <c r="CS58" i="106"/>
  <c r="CS59" i="106"/>
  <c r="CR44" i="106"/>
  <c r="CR45" i="106"/>
  <c r="CR46" i="106"/>
  <c r="CR47" i="106"/>
  <c r="CR48" i="106"/>
  <c r="CR49" i="106"/>
  <c r="CR50" i="106"/>
  <c r="CR51" i="106"/>
  <c r="CR52" i="106"/>
  <c r="CR53" i="106"/>
  <c r="CR54" i="106"/>
  <c r="CR55" i="106"/>
  <c r="CR56" i="106"/>
  <c r="CR57" i="106"/>
  <c r="CR58" i="106"/>
  <c r="CR59" i="106"/>
  <c r="CQ44" i="106"/>
  <c r="CQ45" i="106"/>
  <c r="CQ46" i="106"/>
  <c r="CQ47" i="106"/>
  <c r="CQ48" i="106"/>
  <c r="CQ49" i="106"/>
  <c r="CQ50" i="106"/>
  <c r="CQ51" i="106"/>
  <c r="CQ52" i="106"/>
  <c r="CQ53" i="106"/>
  <c r="CQ54" i="106"/>
  <c r="CQ55" i="106"/>
  <c r="CQ56" i="106"/>
  <c r="CQ57" i="106"/>
  <c r="CQ58" i="106"/>
  <c r="CQ59" i="106"/>
  <c r="CP44" i="106"/>
  <c r="CP45" i="106"/>
  <c r="CP46" i="106"/>
  <c r="CP47" i="106"/>
  <c r="CP48" i="106"/>
  <c r="CP49" i="106"/>
  <c r="CP50" i="106"/>
  <c r="CP51" i="106"/>
  <c r="CP52" i="106"/>
  <c r="CP53" i="106"/>
  <c r="CP54" i="106"/>
  <c r="CP55" i="106"/>
  <c r="CP56" i="106"/>
  <c r="CP57" i="106"/>
  <c r="CP58" i="106"/>
  <c r="CP59" i="106"/>
  <c r="CO44" i="106"/>
  <c r="CO45" i="106"/>
  <c r="CO46" i="106"/>
  <c r="CO47" i="106"/>
  <c r="CO48" i="106"/>
  <c r="CO49" i="106"/>
  <c r="CO50" i="106"/>
  <c r="CO51" i="106"/>
  <c r="CO52" i="106"/>
  <c r="CO53" i="106"/>
  <c r="CO54" i="106"/>
  <c r="CO55" i="106"/>
  <c r="CO56" i="106"/>
  <c r="CO57" i="106"/>
  <c r="CO58" i="106"/>
  <c r="CO59" i="106"/>
  <c r="CN44" i="106"/>
  <c r="CN45" i="106"/>
  <c r="CN46" i="106"/>
  <c r="CN47" i="106"/>
  <c r="CN48" i="106"/>
  <c r="CN49" i="106"/>
  <c r="CN50" i="106"/>
  <c r="CN51" i="106"/>
  <c r="CN52" i="106"/>
  <c r="CN53" i="106"/>
  <c r="CN54" i="106"/>
  <c r="CN55" i="106"/>
  <c r="CN56" i="106"/>
  <c r="CN57" i="106"/>
  <c r="CN58" i="106"/>
  <c r="CN59" i="106"/>
  <c r="CM44" i="106"/>
  <c r="CM45" i="106"/>
  <c r="CM46" i="106"/>
  <c r="CM47" i="106"/>
  <c r="CM48" i="106"/>
  <c r="CM49" i="106"/>
  <c r="CM50" i="106"/>
  <c r="CM51" i="106"/>
  <c r="CM52" i="106"/>
  <c r="CM53" i="106"/>
  <c r="CM54" i="106"/>
  <c r="CM55" i="106"/>
  <c r="CM56" i="106"/>
  <c r="CM57" i="106"/>
  <c r="CM58" i="106"/>
  <c r="CM59" i="106"/>
  <c r="CL44" i="106"/>
  <c r="CL45" i="106"/>
  <c r="CL46" i="106"/>
  <c r="CL47" i="106"/>
  <c r="CL48" i="106"/>
  <c r="CL49" i="106"/>
  <c r="CL50" i="106"/>
  <c r="CL51" i="106"/>
  <c r="CL52" i="106"/>
  <c r="CL53" i="106"/>
  <c r="CL54" i="106"/>
  <c r="CL55" i="106"/>
  <c r="CL56" i="106"/>
  <c r="CL57" i="106"/>
  <c r="CL58" i="106"/>
  <c r="CL59" i="106"/>
  <c r="CJ44" i="106"/>
  <c r="CJ45" i="106"/>
  <c r="CJ46" i="106"/>
  <c r="CJ47" i="106"/>
  <c r="CJ48" i="106"/>
  <c r="CJ49" i="106"/>
  <c r="CJ50" i="106"/>
  <c r="CJ51" i="106"/>
  <c r="CJ52" i="106"/>
  <c r="CJ53" i="106"/>
  <c r="CJ54" i="106"/>
  <c r="CJ55" i="106"/>
  <c r="CJ56" i="106"/>
  <c r="CJ57" i="106"/>
  <c r="CJ58" i="106"/>
  <c r="CJ59" i="106"/>
  <c r="CI44" i="106"/>
  <c r="CI45" i="106"/>
  <c r="CI46" i="106"/>
  <c r="CI47" i="106"/>
  <c r="CI48" i="106"/>
  <c r="CI49" i="106"/>
  <c r="CI50" i="106"/>
  <c r="CI51" i="106"/>
  <c r="CI52" i="106"/>
  <c r="CI53" i="106"/>
  <c r="CI54" i="106"/>
  <c r="CI55" i="106"/>
  <c r="CI56" i="106"/>
  <c r="CI57" i="106"/>
  <c r="CI58" i="106"/>
  <c r="CI59" i="106"/>
  <c r="CH44" i="106"/>
  <c r="CH45" i="106"/>
  <c r="CH46" i="106"/>
  <c r="CH47" i="106"/>
  <c r="CH48" i="106"/>
  <c r="CH49" i="106"/>
  <c r="CH50" i="106"/>
  <c r="CH51" i="106"/>
  <c r="CH52" i="106"/>
  <c r="CH53" i="106"/>
  <c r="CH54" i="106"/>
  <c r="CH55" i="106"/>
  <c r="CH56" i="106"/>
  <c r="CH57" i="106"/>
  <c r="CH58" i="106"/>
  <c r="CH59" i="106"/>
  <c r="CG44" i="106"/>
  <c r="CG45" i="106"/>
  <c r="CG46" i="106"/>
  <c r="CG47" i="106"/>
  <c r="CG48" i="106"/>
  <c r="CG49" i="106"/>
  <c r="CG50" i="106"/>
  <c r="CG51" i="106"/>
  <c r="CG52" i="106"/>
  <c r="CG53" i="106"/>
  <c r="CG54" i="106"/>
  <c r="CG55" i="106"/>
  <c r="CG56" i="106"/>
  <c r="CG57" i="106"/>
  <c r="CG58" i="106"/>
  <c r="CG59" i="106"/>
  <c r="CE44" i="106"/>
  <c r="CE45" i="106"/>
  <c r="CE46" i="106"/>
  <c r="CE47" i="106"/>
  <c r="CE48" i="106"/>
  <c r="CE49" i="106"/>
  <c r="CE50" i="106"/>
  <c r="CE51" i="106"/>
  <c r="CE52" i="106"/>
  <c r="CE53" i="106"/>
  <c r="CE54" i="106"/>
  <c r="CE55" i="106"/>
  <c r="CE56" i="106"/>
  <c r="CE57" i="106"/>
  <c r="CE58" i="106"/>
  <c r="CE59" i="106"/>
  <c r="CD44" i="106"/>
  <c r="CD45" i="106"/>
  <c r="CD46" i="106"/>
  <c r="CD47" i="106"/>
  <c r="CD48" i="106"/>
  <c r="CD49" i="106"/>
  <c r="CD50" i="106"/>
  <c r="CD51" i="106"/>
  <c r="CD52" i="106"/>
  <c r="CD53" i="106"/>
  <c r="CD54" i="106"/>
  <c r="CD55" i="106"/>
  <c r="CD56" i="106"/>
  <c r="CD57" i="106"/>
  <c r="CD58" i="106"/>
  <c r="CD59" i="106"/>
  <c r="CC44" i="106"/>
  <c r="CC45" i="106"/>
  <c r="CC46" i="106"/>
  <c r="CC47" i="106"/>
  <c r="CC48" i="106"/>
  <c r="CC49" i="106"/>
  <c r="CC50" i="106"/>
  <c r="CC51" i="106"/>
  <c r="CC52" i="106"/>
  <c r="CC53" i="106"/>
  <c r="CC54" i="106"/>
  <c r="CC55" i="106"/>
  <c r="CC56" i="106"/>
  <c r="CC57" i="106"/>
  <c r="CC58" i="106"/>
  <c r="CC59" i="106"/>
  <c r="CB44" i="106"/>
  <c r="CB45" i="106"/>
  <c r="CB46" i="106"/>
  <c r="CB47" i="106"/>
  <c r="CB48" i="106"/>
  <c r="CB49" i="106"/>
  <c r="CB50" i="106"/>
  <c r="CB51" i="106"/>
  <c r="CB52" i="106"/>
  <c r="CB53" i="106"/>
  <c r="CB54" i="106"/>
  <c r="CB55" i="106"/>
  <c r="CB56" i="106"/>
  <c r="CB57" i="106"/>
  <c r="CB58" i="106"/>
  <c r="CB59" i="106"/>
  <c r="BZ44" i="106"/>
  <c r="BZ45" i="106"/>
  <c r="BZ46" i="106"/>
  <c r="BZ47" i="106"/>
  <c r="BZ48" i="106"/>
  <c r="BZ49" i="106"/>
  <c r="BZ50" i="106"/>
  <c r="BZ51" i="106"/>
  <c r="BZ52" i="106"/>
  <c r="BZ53" i="106"/>
  <c r="BZ54" i="106"/>
  <c r="BZ55" i="106"/>
  <c r="BZ56" i="106"/>
  <c r="BZ57" i="106"/>
  <c r="BZ58" i="106"/>
  <c r="BZ59" i="106"/>
  <c r="BY44" i="106"/>
  <c r="BY45" i="106"/>
  <c r="BY46" i="106"/>
  <c r="BY47" i="106"/>
  <c r="BY48" i="106"/>
  <c r="BY49" i="106"/>
  <c r="BY50" i="106"/>
  <c r="BY51" i="106"/>
  <c r="BY52" i="106"/>
  <c r="BY53" i="106"/>
  <c r="BY54" i="106"/>
  <c r="BY55" i="106"/>
  <c r="BY56" i="106"/>
  <c r="BY57" i="106"/>
  <c r="BY58" i="106"/>
  <c r="BY59" i="106"/>
  <c r="BX44" i="106"/>
  <c r="BX45" i="106"/>
  <c r="BX46" i="106"/>
  <c r="BX47" i="106"/>
  <c r="BX48" i="106"/>
  <c r="BX49" i="106"/>
  <c r="BX50" i="106"/>
  <c r="BX51" i="106"/>
  <c r="BX52" i="106"/>
  <c r="BX53" i="106"/>
  <c r="BX54" i="106"/>
  <c r="BX55" i="106"/>
  <c r="BX56" i="106"/>
  <c r="BX57" i="106"/>
  <c r="BX58" i="106"/>
  <c r="BX59" i="106"/>
  <c r="BW44" i="106"/>
  <c r="BW45" i="106"/>
  <c r="BW46" i="106"/>
  <c r="BW47" i="106"/>
  <c r="BW48" i="106"/>
  <c r="BW49" i="106"/>
  <c r="BW50" i="106"/>
  <c r="BW51" i="106"/>
  <c r="BW52" i="106"/>
  <c r="BW53" i="106"/>
  <c r="BW54" i="106"/>
  <c r="BW55" i="106"/>
  <c r="BW56" i="106"/>
  <c r="BW57" i="106"/>
  <c r="BW58" i="106"/>
  <c r="BW59" i="106"/>
  <c r="BU44" i="106"/>
  <c r="BU45" i="106"/>
  <c r="BU46" i="106"/>
  <c r="BU47" i="106"/>
  <c r="BU48" i="106"/>
  <c r="BU49" i="106"/>
  <c r="BU50" i="106"/>
  <c r="BU51" i="106"/>
  <c r="BU52" i="106"/>
  <c r="BU53" i="106"/>
  <c r="BU54" i="106"/>
  <c r="BU55" i="106"/>
  <c r="BU56" i="106"/>
  <c r="BU57" i="106"/>
  <c r="BU58" i="106"/>
  <c r="BU59" i="106"/>
  <c r="BT44" i="106"/>
  <c r="BT45" i="106"/>
  <c r="BT46" i="106"/>
  <c r="BT47" i="106"/>
  <c r="BT48" i="106"/>
  <c r="BT49" i="106"/>
  <c r="BT50" i="106"/>
  <c r="BT51" i="106"/>
  <c r="BT52" i="106"/>
  <c r="BT53" i="106"/>
  <c r="BT54" i="106"/>
  <c r="BT55" i="106"/>
  <c r="BT56" i="106"/>
  <c r="BT57" i="106"/>
  <c r="BT58" i="106"/>
  <c r="BT59" i="106"/>
  <c r="BS44" i="106"/>
  <c r="BS45" i="106"/>
  <c r="BS46" i="106"/>
  <c r="BS47" i="106"/>
  <c r="BS48" i="106"/>
  <c r="BS49" i="106"/>
  <c r="BS50" i="106"/>
  <c r="BS51" i="106"/>
  <c r="BS52" i="106"/>
  <c r="BS53" i="106"/>
  <c r="BS54" i="106"/>
  <c r="BS55" i="106"/>
  <c r="BS56" i="106"/>
  <c r="BS57" i="106"/>
  <c r="BS58" i="106"/>
  <c r="BS59" i="106"/>
  <c r="BR44" i="106"/>
  <c r="BR45" i="106"/>
  <c r="BR46" i="106"/>
  <c r="BR47" i="106"/>
  <c r="BR48" i="106"/>
  <c r="BR49" i="106"/>
  <c r="BR50" i="106"/>
  <c r="BR51" i="106"/>
  <c r="BR52" i="106"/>
  <c r="BR53" i="106"/>
  <c r="BR54" i="106"/>
  <c r="BR55" i="106"/>
  <c r="BR56" i="106"/>
  <c r="BR57" i="106"/>
  <c r="BR58" i="106"/>
  <c r="BR59" i="106"/>
  <c r="BQ44" i="106"/>
  <c r="BQ45" i="106"/>
  <c r="BQ46" i="106"/>
  <c r="BQ47" i="106"/>
  <c r="BQ48" i="106"/>
  <c r="BQ49" i="106"/>
  <c r="BQ50" i="106"/>
  <c r="BQ51" i="106"/>
  <c r="BQ52" i="106"/>
  <c r="BQ53" i="106"/>
  <c r="BQ54" i="106"/>
  <c r="BQ55" i="106"/>
  <c r="BQ56" i="106"/>
  <c r="BQ57" i="106"/>
  <c r="BQ58" i="106"/>
  <c r="BQ59" i="106"/>
  <c r="BP44" i="106"/>
  <c r="BP45" i="106"/>
  <c r="BP46" i="106"/>
  <c r="BP47" i="106"/>
  <c r="BP48" i="106"/>
  <c r="BP49" i="106"/>
  <c r="BP50" i="106"/>
  <c r="BP51" i="106"/>
  <c r="BP52" i="106"/>
  <c r="BP53" i="106"/>
  <c r="BP54" i="106"/>
  <c r="BP55" i="106"/>
  <c r="BP56" i="106"/>
  <c r="BP57" i="106"/>
  <c r="BP58" i="106"/>
  <c r="BP59" i="106"/>
  <c r="BO44" i="106"/>
  <c r="BO45" i="106"/>
  <c r="BO46" i="106"/>
  <c r="BO47" i="106"/>
  <c r="BO48" i="106"/>
  <c r="BO49" i="106"/>
  <c r="BO50" i="106"/>
  <c r="BO51" i="106"/>
  <c r="BO52" i="106"/>
  <c r="BO53" i="106"/>
  <c r="BO54" i="106"/>
  <c r="BO55" i="106"/>
  <c r="BO56" i="106"/>
  <c r="BO57" i="106"/>
  <c r="BO58" i="106"/>
  <c r="BO59" i="106"/>
  <c r="BN44" i="106"/>
  <c r="BN45" i="106"/>
  <c r="BN46" i="106"/>
  <c r="BN47" i="106"/>
  <c r="BN48" i="106"/>
  <c r="BN49" i="106"/>
  <c r="BN50" i="106"/>
  <c r="BN51" i="106"/>
  <c r="BN52" i="106"/>
  <c r="BN53" i="106"/>
  <c r="BN54" i="106"/>
  <c r="BN55" i="106"/>
  <c r="BN56" i="106"/>
  <c r="BN57" i="106"/>
  <c r="BN58" i="106"/>
  <c r="BN59" i="106"/>
  <c r="BM44" i="106"/>
  <c r="BM45" i="106"/>
  <c r="BM46" i="106"/>
  <c r="BM47" i="106"/>
  <c r="BM48" i="106"/>
  <c r="BM49" i="106"/>
  <c r="BM50" i="106"/>
  <c r="BM51" i="106"/>
  <c r="BM52" i="106"/>
  <c r="BM53" i="106"/>
  <c r="BM54" i="106"/>
  <c r="BM55" i="106"/>
  <c r="BM56" i="106"/>
  <c r="BM57" i="106"/>
  <c r="BM58" i="106"/>
  <c r="BM59" i="106"/>
  <c r="BK44" i="106"/>
  <c r="BK45" i="106"/>
  <c r="BK46" i="106"/>
  <c r="BK47" i="106"/>
  <c r="BK48" i="106"/>
  <c r="BK49" i="106"/>
  <c r="BK50" i="106"/>
  <c r="BK51" i="106"/>
  <c r="BK52" i="106"/>
  <c r="BK53" i="106"/>
  <c r="BK54" i="106"/>
  <c r="BK55" i="106"/>
  <c r="BK56" i="106"/>
  <c r="BK57" i="106"/>
  <c r="BK58" i="106"/>
  <c r="BK59" i="106"/>
  <c r="BJ44" i="106"/>
  <c r="BJ45" i="106"/>
  <c r="BJ46" i="106"/>
  <c r="BJ47" i="106"/>
  <c r="BJ48" i="106"/>
  <c r="BJ49" i="106"/>
  <c r="BJ50" i="106"/>
  <c r="BJ51" i="106"/>
  <c r="BJ52" i="106"/>
  <c r="BJ53" i="106"/>
  <c r="BJ54" i="106"/>
  <c r="BJ55" i="106"/>
  <c r="BJ56" i="106"/>
  <c r="BJ57" i="106"/>
  <c r="BJ58" i="106"/>
  <c r="BJ59" i="106"/>
  <c r="BI44" i="106"/>
  <c r="BI45" i="106"/>
  <c r="BI46" i="106"/>
  <c r="BI47" i="106"/>
  <c r="BI48" i="106"/>
  <c r="BI49" i="106"/>
  <c r="BI50" i="106"/>
  <c r="BI51" i="106"/>
  <c r="BI52" i="106"/>
  <c r="BI53" i="106"/>
  <c r="BI54" i="106"/>
  <c r="BI55" i="106"/>
  <c r="BI56" i="106"/>
  <c r="BI57" i="106"/>
  <c r="BI58" i="106"/>
  <c r="BI59" i="106"/>
  <c r="BH44" i="106"/>
  <c r="BH45" i="106"/>
  <c r="BH46" i="106"/>
  <c r="BH47" i="106"/>
  <c r="BH48" i="106"/>
  <c r="BH49" i="106"/>
  <c r="BH50" i="106"/>
  <c r="BH51" i="106"/>
  <c r="BH52" i="106"/>
  <c r="BH53" i="106"/>
  <c r="BH54" i="106"/>
  <c r="BH55" i="106"/>
  <c r="BH56" i="106"/>
  <c r="BH57" i="106"/>
  <c r="BH58" i="106"/>
  <c r="BH59" i="106"/>
  <c r="BG44" i="106"/>
  <c r="BG45" i="106"/>
  <c r="BG46" i="106"/>
  <c r="BG47" i="106"/>
  <c r="BG48" i="106"/>
  <c r="BG49" i="106"/>
  <c r="BG50" i="106"/>
  <c r="BG51" i="106"/>
  <c r="BG52" i="106"/>
  <c r="BG53" i="106"/>
  <c r="BG54" i="106"/>
  <c r="BG55" i="106"/>
  <c r="BG56" i="106"/>
  <c r="BG57" i="106"/>
  <c r="BG58" i="106"/>
  <c r="BG59" i="106"/>
  <c r="BF44" i="106"/>
  <c r="BF45" i="106"/>
  <c r="BF46" i="106"/>
  <c r="BF47" i="106"/>
  <c r="BF48" i="106"/>
  <c r="BF49" i="106"/>
  <c r="BF50" i="106"/>
  <c r="BF51" i="106"/>
  <c r="BF52" i="106"/>
  <c r="BF53" i="106"/>
  <c r="BF54" i="106"/>
  <c r="BF55" i="106"/>
  <c r="BF56" i="106"/>
  <c r="BF57" i="106"/>
  <c r="BF58" i="106"/>
  <c r="BF59" i="106"/>
  <c r="BE44" i="106"/>
  <c r="BE45" i="106"/>
  <c r="BE46" i="106"/>
  <c r="BE47" i="106"/>
  <c r="BE48" i="106"/>
  <c r="BE49" i="106"/>
  <c r="BE50" i="106"/>
  <c r="BE51" i="106"/>
  <c r="BE52" i="106"/>
  <c r="BE53" i="106"/>
  <c r="BE54" i="106"/>
  <c r="BE55" i="106"/>
  <c r="BE56" i="106"/>
  <c r="BE57" i="106"/>
  <c r="BE58" i="106"/>
  <c r="BE59" i="106"/>
  <c r="BD44" i="106"/>
  <c r="BD45" i="106"/>
  <c r="BD46" i="106"/>
  <c r="BD47" i="106"/>
  <c r="BD48" i="106"/>
  <c r="BD49" i="106"/>
  <c r="BD50" i="106"/>
  <c r="BD51" i="106"/>
  <c r="BD52" i="106"/>
  <c r="BD53" i="106"/>
  <c r="BD54" i="106"/>
  <c r="BD55" i="106"/>
  <c r="BD56" i="106"/>
  <c r="BD57" i="106"/>
  <c r="BD58" i="106"/>
  <c r="BD59" i="106"/>
  <c r="BC44" i="106"/>
  <c r="BC45" i="106"/>
  <c r="BC46" i="106"/>
  <c r="BC47" i="106"/>
  <c r="BC48" i="106"/>
  <c r="BC49" i="106"/>
  <c r="BC50" i="106"/>
  <c r="BC51" i="106"/>
  <c r="BC52" i="106"/>
  <c r="BC53" i="106"/>
  <c r="BC54" i="106"/>
  <c r="BC55" i="106"/>
  <c r="BC56" i="106"/>
  <c r="BC57" i="106"/>
  <c r="BC58" i="106"/>
  <c r="BC59" i="106"/>
  <c r="BA44" i="106"/>
  <c r="BA45" i="106"/>
  <c r="BA46" i="106"/>
  <c r="BA47" i="106"/>
  <c r="BA48" i="106"/>
  <c r="BA49" i="106"/>
  <c r="BA50" i="106"/>
  <c r="BA51" i="106"/>
  <c r="BA52" i="106"/>
  <c r="BA53" i="106"/>
  <c r="BA54" i="106"/>
  <c r="BA55" i="106"/>
  <c r="BA56" i="106"/>
  <c r="BA57" i="106"/>
  <c r="BA58" i="106"/>
  <c r="BA59" i="106"/>
  <c r="AZ44" i="106"/>
  <c r="AZ45" i="106"/>
  <c r="AZ46" i="106"/>
  <c r="AZ47" i="106"/>
  <c r="AZ48" i="106"/>
  <c r="AZ49" i="106"/>
  <c r="AZ50" i="106"/>
  <c r="AZ51" i="106"/>
  <c r="AZ52" i="106"/>
  <c r="AZ53" i="106"/>
  <c r="AZ54" i="106"/>
  <c r="AZ55" i="106"/>
  <c r="AZ56" i="106"/>
  <c r="AZ57" i="106"/>
  <c r="AZ58" i="106"/>
  <c r="AZ59" i="106"/>
  <c r="AY44" i="106"/>
  <c r="AY45" i="106"/>
  <c r="AY46" i="106"/>
  <c r="AY47" i="106"/>
  <c r="AY48" i="106"/>
  <c r="AY49" i="106"/>
  <c r="AY50" i="106"/>
  <c r="AY51" i="106"/>
  <c r="AY52" i="106"/>
  <c r="AY53" i="106"/>
  <c r="AY54" i="106"/>
  <c r="AY55" i="106"/>
  <c r="AY56" i="106"/>
  <c r="AY57" i="106"/>
  <c r="AY58" i="106"/>
  <c r="AY59" i="106"/>
  <c r="AX44" i="106"/>
  <c r="AX45" i="106"/>
  <c r="AX46" i="106"/>
  <c r="AX47" i="106"/>
  <c r="AX48" i="106"/>
  <c r="AX49" i="106"/>
  <c r="AX50" i="106"/>
  <c r="AX51" i="106"/>
  <c r="AX52" i="106"/>
  <c r="AX53" i="106"/>
  <c r="AX54" i="106"/>
  <c r="AX55" i="106"/>
  <c r="AX56" i="106"/>
  <c r="AX57" i="106"/>
  <c r="AX58" i="106"/>
  <c r="AX59" i="106"/>
  <c r="AW44" i="106"/>
  <c r="AW45" i="106"/>
  <c r="AW46" i="106"/>
  <c r="AW47" i="106"/>
  <c r="AW48" i="106"/>
  <c r="AW49" i="106"/>
  <c r="AW50" i="106"/>
  <c r="AW51" i="106"/>
  <c r="AW52" i="106"/>
  <c r="AW53" i="106"/>
  <c r="AW54" i="106"/>
  <c r="AW55" i="106"/>
  <c r="AW56" i="106"/>
  <c r="AW57" i="106"/>
  <c r="AW58" i="106"/>
  <c r="AW59" i="106"/>
  <c r="AV44" i="106"/>
  <c r="AV45" i="106"/>
  <c r="AV46" i="106"/>
  <c r="AV47" i="106"/>
  <c r="AV48" i="106"/>
  <c r="AV49" i="106"/>
  <c r="AV50" i="106"/>
  <c r="AV51" i="106"/>
  <c r="AV52" i="106"/>
  <c r="AV53" i="106"/>
  <c r="AV54" i="106"/>
  <c r="AV55" i="106"/>
  <c r="AV56" i="106"/>
  <c r="AV57" i="106"/>
  <c r="AV58" i="106"/>
  <c r="AV59" i="106"/>
  <c r="AU44" i="106"/>
  <c r="AU45" i="106"/>
  <c r="AU46" i="106"/>
  <c r="AU47" i="106"/>
  <c r="AU48" i="106"/>
  <c r="AU49" i="106"/>
  <c r="AU50" i="106"/>
  <c r="AU51" i="106"/>
  <c r="AU52" i="106"/>
  <c r="AU53" i="106"/>
  <c r="AU54" i="106"/>
  <c r="AU55" i="106"/>
  <c r="AU56" i="106"/>
  <c r="AU57" i="106"/>
  <c r="AU58" i="106"/>
  <c r="AU59" i="106"/>
  <c r="AT44" i="106"/>
  <c r="AT45" i="106"/>
  <c r="AT46" i="106"/>
  <c r="AT47" i="106"/>
  <c r="AT48" i="106"/>
  <c r="AT49" i="106"/>
  <c r="AT50" i="106"/>
  <c r="AT51" i="106"/>
  <c r="AT52" i="106"/>
  <c r="AT53" i="106"/>
  <c r="AT54" i="106"/>
  <c r="AT55" i="106"/>
  <c r="AT56" i="106"/>
  <c r="AT57" i="106"/>
  <c r="AT58" i="106"/>
  <c r="AT59" i="106"/>
  <c r="AS44" i="106"/>
  <c r="AS45" i="106"/>
  <c r="AS46" i="106"/>
  <c r="AS47" i="106"/>
  <c r="AS48" i="106"/>
  <c r="AS49" i="106"/>
  <c r="AS50" i="106"/>
  <c r="AS51" i="106"/>
  <c r="AS52" i="106"/>
  <c r="AS53" i="106"/>
  <c r="AS54" i="106"/>
  <c r="AS55" i="106"/>
  <c r="AS56" i="106"/>
  <c r="AS57" i="106"/>
  <c r="AS58" i="106"/>
  <c r="AS59" i="106"/>
  <c r="AQ44" i="106"/>
  <c r="AQ45" i="106"/>
  <c r="AQ46" i="106"/>
  <c r="AQ47" i="106"/>
  <c r="AQ48" i="106"/>
  <c r="AQ49" i="106"/>
  <c r="AQ50" i="106"/>
  <c r="AQ51" i="106"/>
  <c r="AQ52" i="106"/>
  <c r="AQ53" i="106"/>
  <c r="AQ54" i="106"/>
  <c r="AQ55" i="106"/>
  <c r="AQ56" i="106"/>
  <c r="AQ57" i="106"/>
  <c r="AQ58" i="106"/>
  <c r="AQ59" i="106"/>
  <c r="AP44" i="106"/>
  <c r="AP45" i="106"/>
  <c r="AP46" i="106"/>
  <c r="AP47" i="106"/>
  <c r="AP48" i="106"/>
  <c r="AP49" i="106"/>
  <c r="AP50" i="106"/>
  <c r="AP51" i="106"/>
  <c r="AP52" i="106"/>
  <c r="AP53" i="106"/>
  <c r="AP54" i="106"/>
  <c r="AP55" i="106"/>
  <c r="AP56" i="106"/>
  <c r="AP57" i="106"/>
  <c r="AP58" i="106"/>
  <c r="AP59" i="106"/>
  <c r="AO44" i="106"/>
  <c r="AO45" i="106"/>
  <c r="AO46" i="106"/>
  <c r="AO47" i="106"/>
  <c r="AO48" i="106"/>
  <c r="AO49" i="106"/>
  <c r="AO50" i="106"/>
  <c r="AO51" i="106"/>
  <c r="AO52" i="106"/>
  <c r="AO53" i="106"/>
  <c r="AO54" i="106"/>
  <c r="AO55" i="106"/>
  <c r="AO56" i="106"/>
  <c r="AO57" i="106"/>
  <c r="AO58" i="106"/>
  <c r="AO59" i="106"/>
  <c r="AN44" i="106"/>
  <c r="AN45" i="106"/>
  <c r="AN46" i="106"/>
  <c r="AN47" i="106"/>
  <c r="AN48" i="106"/>
  <c r="AN49" i="106"/>
  <c r="AN50" i="106"/>
  <c r="AN51" i="106"/>
  <c r="AN52" i="106"/>
  <c r="AN53" i="106"/>
  <c r="AN54" i="106"/>
  <c r="AN55" i="106"/>
  <c r="AN56" i="106"/>
  <c r="AN57" i="106"/>
  <c r="AN58" i="106"/>
  <c r="AN59" i="106"/>
  <c r="AL44" i="106"/>
  <c r="AL45" i="106"/>
  <c r="AL46" i="106"/>
  <c r="AL47" i="106"/>
  <c r="AL48" i="106"/>
  <c r="AL49" i="106"/>
  <c r="AL50" i="106"/>
  <c r="AL51" i="106"/>
  <c r="AL52" i="106"/>
  <c r="AL53" i="106"/>
  <c r="AL54" i="106"/>
  <c r="AL55" i="106"/>
  <c r="AL56" i="106"/>
  <c r="AL57" i="106"/>
  <c r="AL58" i="106"/>
  <c r="AL59" i="106"/>
  <c r="AK44" i="106"/>
  <c r="AK45" i="106"/>
  <c r="AK46" i="106"/>
  <c r="AK47" i="106"/>
  <c r="AK48" i="106"/>
  <c r="AK49" i="106"/>
  <c r="AK50" i="106"/>
  <c r="AK51" i="106"/>
  <c r="AK52" i="106"/>
  <c r="AK53" i="106"/>
  <c r="AK54" i="106"/>
  <c r="AK55" i="106"/>
  <c r="AK56" i="106"/>
  <c r="AK57" i="106"/>
  <c r="AK58" i="106"/>
  <c r="AK59" i="106"/>
  <c r="AJ44" i="106"/>
  <c r="AJ45" i="106"/>
  <c r="AJ46" i="106"/>
  <c r="AJ47" i="106"/>
  <c r="AJ48" i="106"/>
  <c r="AJ49" i="106"/>
  <c r="AJ50" i="106"/>
  <c r="AJ51" i="106"/>
  <c r="AJ52" i="106"/>
  <c r="AJ53" i="106"/>
  <c r="AJ54" i="106"/>
  <c r="AJ55" i="106"/>
  <c r="AJ56" i="106"/>
  <c r="AJ57" i="106"/>
  <c r="AJ58" i="106"/>
  <c r="AJ59" i="106"/>
  <c r="AI44" i="106"/>
  <c r="AI45" i="106"/>
  <c r="AI46" i="106"/>
  <c r="AI47" i="106"/>
  <c r="AI48" i="106"/>
  <c r="AI49" i="106"/>
  <c r="AI50" i="106"/>
  <c r="AI51" i="106"/>
  <c r="AI52" i="106"/>
  <c r="AI53" i="106"/>
  <c r="AI54" i="106"/>
  <c r="AI55" i="106"/>
  <c r="AI56" i="106"/>
  <c r="AI57" i="106"/>
  <c r="AI58" i="106"/>
  <c r="AI59" i="106"/>
  <c r="AG44" i="106"/>
  <c r="AG45" i="106"/>
  <c r="AG46" i="106"/>
  <c r="AG47" i="106"/>
  <c r="AG48" i="106"/>
  <c r="AG49" i="106"/>
  <c r="AG50" i="106"/>
  <c r="AG51" i="106"/>
  <c r="AG52" i="106"/>
  <c r="AG53" i="106"/>
  <c r="AG54" i="106"/>
  <c r="AG55" i="106"/>
  <c r="AG56" i="106"/>
  <c r="AG57" i="106"/>
  <c r="AG58" i="106"/>
  <c r="AG59" i="106"/>
  <c r="AF44" i="106"/>
  <c r="AF45" i="106"/>
  <c r="AF46" i="106"/>
  <c r="AF47" i="106"/>
  <c r="AF48" i="106"/>
  <c r="AF49" i="106"/>
  <c r="AF50" i="106"/>
  <c r="AF51" i="106"/>
  <c r="AF52" i="106"/>
  <c r="AF53" i="106"/>
  <c r="AF54" i="106"/>
  <c r="AF55" i="106"/>
  <c r="AF56" i="106"/>
  <c r="AF57" i="106"/>
  <c r="AF58" i="106"/>
  <c r="AF59" i="106"/>
  <c r="AE44" i="106"/>
  <c r="AE45" i="106"/>
  <c r="AE46" i="106"/>
  <c r="AE47" i="106"/>
  <c r="AE48" i="106"/>
  <c r="AE49" i="106"/>
  <c r="AE50" i="106"/>
  <c r="AE51" i="106"/>
  <c r="AE52" i="106"/>
  <c r="AE53" i="106"/>
  <c r="AE54" i="106"/>
  <c r="AE55" i="106"/>
  <c r="AE56" i="106"/>
  <c r="AE57" i="106"/>
  <c r="AE58" i="106"/>
  <c r="AE59" i="106"/>
  <c r="AD44" i="106"/>
  <c r="AD45" i="106"/>
  <c r="AD46" i="106"/>
  <c r="AD47" i="106"/>
  <c r="AD48" i="106"/>
  <c r="AD49" i="106"/>
  <c r="AD50" i="106"/>
  <c r="AD51" i="106"/>
  <c r="AD52" i="106"/>
  <c r="AD53" i="106"/>
  <c r="AD54" i="106"/>
  <c r="AD55" i="106"/>
  <c r="AD56" i="106"/>
  <c r="AD57" i="106"/>
  <c r="AD58" i="106"/>
  <c r="AD59" i="106"/>
  <c r="AB44" i="106"/>
  <c r="AB45" i="106"/>
  <c r="AB46" i="106"/>
  <c r="AB47" i="106"/>
  <c r="AB48" i="106"/>
  <c r="AB49" i="106"/>
  <c r="AB50" i="106"/>
  <c r="AB51" i="106"/>
  <c r="AB52" i="106"/>
  <c r="AB53" i="106"/>
  <c r="AB54" i="106"/>
  <c r="AB55" i="106"/>
  <c r="AB56" i="106"/>
  <c r="AB57" i="106"/>
  <c r="AB58" i="106"/>
  <c r="AB59" i="106"/>
  <c r="AA44" i="106"/>
  <c r="AA45" i="106"/>
  <c r="AA46" i="106"/>
  <c r="AA47" i="106"/>
  <c r="AA48" i="106"/>
  <c r="AA49" i="106"/>
  <c r="AA50" i="106"/>
  <c r="AA51" i="106"/>
  <c r="AA52" i="106"/>
  <c r="AA53" i="106"/>
  <c r="AA54" i="106"/>
  <c r="AA55" i="106"/>
  <c r="AA56" i="106"/>
  <c r="AA57" i="106"/>
  <c r="AA58" i="106"/>
  <c r="AA59" i="106"/>
  <c r="Z44" i="106"/>
  <c r="Z45" i="106"/>
  <c r="Z46" i="106"/>
  <c r="Z47" i="106"/>
  <c r="Z48" i="106"/>
  <c r="Z49" i="106"/>
  <c r="Z50" i="106"/>
  <c r="Z51" i="106"/>
  <c r="Z52" i="106"/>
  <c r="Z53" i="106"/>
  <c r="Z54" i="106"/>
  <c r="Z55" i="106"/>
  <c r="Z56" i="106"/>
  <c r="Z57" i="106"/>
  <c r="Z58" i="106"/>
  <c r="Z59" i="106"/>
  <c r="Y44" i="106"/>
  <c r="Y45" i="106"/>
  <c r="Y46" i="106"/>
  <c r="Y47" i="106"/>
  <c r="Y48" i="106"/>
  <c r="Y49" i="106"/>
  <c r="Y50" i="106"/>
  <c r="Y51" i="106"/>
  <c r="Y52" i="106"/>
  <c r="Y53" i="106"/>
  <c r="Y54" i="106"/>
  <c r="Y55" i="106"/>
  <c r="Y56" i="106"/>
  <c r="Y57" i="106"/>
  <c r="Y58" i="106"/>
  <c r="Y59" i="106"/>
  <c r="W44" i="106"/>
  <c r="W45" i="106"/>
  <c r="W46" i="106"/>
  <c r="W47" i="106"/>
  <c r="W48" i="106"/>
  <c r="W49" i="106"/>
  <c r="W50" i="106"/>
  <c r="W51" i="106"/>
  <c r="W52" i="106"/>
  <c r="W53" i="106"/>
  <c r="W54" i="106"/>
  <c r="W55" i="106"/>
  <c r="W56" i="106"/>
  <c r="W57" i="106"/>
  <c r="W58" i="106"/>
  <c r="W59" i="106"/>
  <c r="V44" i="106"/>
  <c r="V45" i="106"/>
  <c r="V46" i="106"/>
  <c r="V47" i="106"/>
  <c r="V48" i="106"/>
  <c r="V49" i="106"/>
  <c r="V50" i="106"/>
  <c r="V51" i="106"/>
  <c r="V52" i="106"/>
  <c r="V53" i="106"/>
  <c r="V54" i="106"/>
  <c r="V55" i="106"/>
  <c r="V56" i="106"/>
  <c r="V57" i="106"/>
  <c r="V58" i="106"/>
  <c r="V59" i="106"/>
  <c r="U44" i="106"/>
  <c r="U45" i="106"/>
  <c r="U46" i="106"/>
  <c r="U47" i="106"/>
  <c r="U48" i="106"/>
  <c r="U49" i="106"/>
  <c r="U50" i="106"/>
  <c r="U51" i="106"/>
  <c r="U52" i="106"/>
  <c r="U53" i="106"/>
  <c r="U54" i="106"/>
  <c r="U55" i="106"/>
  <c r="U56" i="106"/>
  <c r="U57" i="106"/>
  <c r="U58" i="106"/>
  <c r="U59" i="106"/>
  <c r="T44" i="106"/>
  <c r="T45" i="106"/>
  <c r="T46" i="106"/>
  <c r="T47" i="106"/>
  <c r="T48" i="106"/>
  <c r="T49" i="106"/>
  <c r="T50" i="106"/>
  <c r="T51" i="106"/>
  <c r="T52" i="106"/>
  <c r="T53" i="106"/>
  <c r="T54" i="106"/>
  <c r="T55" i="106"/>
  <c r="T56" i="106"/>
  <c r="T57" i="106"/>
  <c r="T58" i="106"/>
  <c r="T59" i="106"/>
  <c r="R44" i="106"/>
  <c r="R45" i="106"/>
  <c r="R46" i="106"/>
  <c r="R47" i="106"/>
  <c r="R48" i="106"/>
  <c r="R49" i="106"/>
  <c r="R50" i="106"/>
  <c r="R51" i="106"/>
  <c r="R52" i="106"/>
  <c r="R53" i="106"/>
  <c r="R54" i="106"/>
  <c r="R55" i="106"/>
  <c r="R56" i="106"/>
  <c r="R57" i="106"/>
  <c r="R58" i="106"/>
  <c r="R59" i="106"/>
  <c r="Q44" i="106"/>
  <c r="Q45" i="106"/>
  <c r="Q46" i="106"/>
  <c r="Q47" i="106"/>
  <c r="Q48" i="106"/>
  <c r="Q49" i="106"/>
  <c r="Q50" i="106"/>
  <c r="Q51" i="106"/>
  <c r="Q52" i="106"/>
  <c r="Q53" i="106"/>
  <c r="Q54" i="106"/>
  <c r="Q55" i="106"/>
  <c r="Q56" i="106"/>
  <c r="Q57" i="106"/>
  <c r="Q58" i="106"/>
  <c r="Q59" i="106"/>
  <c r="P44" i="106"/>
  <c r="P45" i="106"/>
  <c r="P46" i="106"/>
  <c r="P47" i="106"/>
  <c r="P48" i="106"/>
  <c r="P49" i="106"/>
  <c r="P50" i="106"/>
  <c r="P51" i="106"/>
  <c r="P52" i="106"/>
  <c r="P53" i="106"/>
  <c r="P54" i="106"/>
  <c r="P55" i="106"/>
  <c r="P56" i="106"/>
  <c r="P57" i="106"/>
  <c r="P58" i="106"/>
  <c r="P59" i="106"/>
  <c r="O44" i="106"/>
  <c r="O45" i="106"/>
  <c r="O46" i="106"/>
  <c r="O47" i="106"/>
  <c r="O48" i="106"/>
  <c r="O49" i="106"/>
  <c r="O50" i="106"/>
  <c r="O51" i="106"/>
  <c r="O52" i="106"/>
  <c r="O53" i="106"/>
  <c r="O54" i="106"/>
  <c r="O55" i="106"/>
  <c r="O56" i="106"/>
  <c r="O57" i="106"/>
  <c r="O58" i="106"/>
  <c r="O59" i="106"/>
  <c r="M44" i="106"/>
  <c r="M45" i="106"/>
  <c r="M46" i="106"/>
  <c r="M47" i="106"/>
  <c r="M48" i="106"/>
  <c r="M49" i="106"/>
  <c r="M50" i="106"/>
  <c r="M51" i="106"/>
  <c r="M52" i="106"/>
  <c r="M53" i="106"/>
  <c r="M54" i="106"/>
  <c r="M55" i="106"/>
  <c r="M56" i="106"/>
  <c r="M57" i="106"/>
  <c r="M58" i="106"/>
  <c r="M59" i="106"/>
  <c r="L44" i="106"/>
  <c r="L45" i="106"/>
  <c r="L46" i="106"/>
  <c r="L47" i="106"/>
  <c r="L48" i="106"/>
  <c r="L49" i="106"/>
  <c r="L50" i="106"/>
  <c r="L51" i="106"/>
  <c r="L52" i="106"/>
  <c r="L53" i="106"/>
  <c r="L54" i="106"/>
  <c r="L55" i="106"/>
  <c r="L56" i="106"/>
  <c r="L57" i="106"/>
  <c r="L58" i="106"/>
  <c r="L59" i="106"/>
  <c r="K44" i="106"/>
  <c r="K45" i="106"/>
  <c r="K46" i="106"/>
  <c r="K47" i="106"/>
  <c r="K48" i="106"/>
  <c r="K49" i="106"/>
  <c r="K50" i="106"/>
  <c r="K51" i="106"/>
  <c r="K52" i="106"/>
  <c r="K53" i="106"/>
  <c r="K54" i="106"/>
  <c r="K55" i="106"/>
  <c r="K56" i="106"/>
  <c r="K57" i="106"/>
  <c r="K58" i="106"/>
  <c r="K59" i="106"/>
  <c r="J44" i="106"/>
  <c r="J45" i="106"/>
  <c r="J46" i="106"/>
  <c r="J47" i="106"/>
  <c r="J48" i="106"/>
  <c r="J49" i="106"/>
  <c r="J50" i="106"/>
  <c r="J51" i="106"/>
  <c r="J52" i="106"/>
  <c r="J53" i="106"/>
  <c r="J54" i="106"/>
  <c r="J55" i="106"/>
  <c r="J56" i="106"/>
  <c r="J57" i="106"/>
  <c r="J58" i="106"/>
  <c r="J59" i="106"/>
  <c r="H44" i="106"/>
  <c r="H45" i="106"/>
  <c r="H46" i="106"/>
  <c r="H47" i="106"/>
  <c r="H48" i="106"/>
  <c r="H49" i="106"/>
  <c r="H50" i="106"/>
  <c r="H51" i="106"/>
  <c r="H52" i="106"/>
  <c r="H53" i="106"/>
  <c r="H54" i="106"/>
  <c r="H55" i="106"/>
  <c r="H56" i="106"/>
  <c r="H57" i="106"/>
  <c r="H58" i="106"/>
  <c r="H59" i="106"/>
  <c r="G44" i="106"/>
  <c r="G45" i="106"/>
  <c r="G46" i="106"/>
  <c r="G47" i="106"/>
  <c r="G48" i="106"/>
  <c r="G49" i="106"/>
  <c r="G50" i="106"/>
  <c r="G51" i="106"/>
  <c r="G52" i="106"/>
  <c r="G53" i="106"/>
  <c r="G54" i="106"/>
  <c r="G55" i="106"/>
  <c r="G56" i="106"/>
  <c r="G57" i="106"/>
  <c r="G58" i="106"/>
  <c r="G59" i="106"/>
  <c r="F44" i="106"/>
  <c r="F45" i="106"/>
  <c r="F46" i="106"/>
  <c r="F47" i="106"/>
  <c r="F48" i="106"/>
  <c r="F49" i="106"/>
  <c r="F50" i="106"/>
  <c r="F51" i="106"/>
  <c r="F52" i="106"/>
  <c r="F53" i="106"/>
  <c r="F54" i="106"/>
  <c r="F55" i="106"/>
  <c r="F56" i="106"/>
  <c r="F57" i="106"/>
  <c r="F58" i="106"/>
  <c r="F59" i="106"/>
  <c r="E44" i="106"/>
  <c r="E45" i="106"/>
  <c r="E46" i="106"/>
  <c r="E47" i="106"/>
  <c r="E48" i="106"/>
  <c r="E49" i="106"/>
  <c r="E50" i="106"/>
  <c r="E51" i="106"/>
  <c r="E52" i="106"/>
  <c r="E53" i="106"/>
  <c r="E54" i="106"/>
  <c r="E55" i="106"/>
  <c r="E56" i="106"/>
  <c r="E57" i="106"/>
  <c r="E58" i="106"/>
  <c r="E59" i="106"/>
  <c r="E815" i="240" l="1"/>
  <c r="E20" i="240"/>
  <c r="E21" i="240"/>
  <c r="E23" i="240"/>
  <c r="E24" i="240"/>
  <c r="E25" i="240"/>
  <c r="E26" i="240"/>
  <c r="E27" i="240"/>
  <c r="E28" i="240"/>
  <c r="E29" i="240"/>
  <c r="E31" i="240"/>
  <c r="E32" i="240"/>
  <c r="E33" i="240"/>
  <c r="E34" i="240"/>
  <c r="E35" i="240"/>
  <c r="E36" i="240"/>
  <c r="E37" i="240"/>
  <c r="E38" i="240"/>
  <c r="E39" i="240"/>
  <c r="E41" i="240"/>
  <c r="E43" i="240"/>
  <c r="E45" i="240"/>
  <c r="E46" i="240"/>
  <c r="E47" i="240"/>
  <c r="E49" i="240"/>
  <c r="E50" i="240"/>
  <c r="E52" i="240"/>
  <c r="E53" i="240"/>
  <c r="E54" i="240"/>
  <c r="E59" i="240"/>
  <c r="E66" i="240"/>
  <c r="E67" i="240"/>
  <c r="E69" i="240"/>
  <c r="E70" i="240"/>
  <c r="E71" i="240"/>
  <c r="E72" i="240"/>
  <c r="E73" i="240"/>
  <c r="E74" i="240"/>
  <c r="E75" i="240"/>
  <c r="E76" i="240"/>
  <c r="E77" i="240"/>
  <c r="E78" i="240"/>
  <c r="E79" i="240"/>
  <c r="E80" i="240"/>
  <c r="E81" i="240"/>
  <c r="E82" i="240"/>
  <c r="E83" i="240"/>
  <c r="E85" i="240"/>
  <c r="E86" i="240"/>
  <c r="E87" i="240"/>
  <c r="E88" i="240"/>
  <c r="E89" i="240"/>
  <c r="E90" i="240"/>
  <c r="E91" i="240"/>
  <c r="E92" i="240"/>
  <c r="E93" i="240"/>
  <c r="E94" i="240"/>
  <c r="E95" i="240"/>
  <c r="E96" i="240"/>
  <c r="E97" i="240"/>
  <c r="E98" i="240"/>
  <c r="E99" i="240"/>
  <c r="E100" i="240"/>
  <c r="E101" i="240"/>
  <c r="E102" i="240"/>
  <c r="E103" i="240"/>
  <c r="E104" i="240"/>
  <c r="E105" i="240"/>
  <c r="E106" i="240"/>
  <c r="E107" i="240"/>
  <c r="E108" i="240"/>
  <c r="E109" i="240"/>
  <c r="E110" i="240"/>
  <c r="E111" i="240"/>
  <c r="E112" i="240"/>
  <c r="E114" i="240"/>
  <c r="E115" i="240"/>
  <c r="E116" i="240"/>
  <c r="E117" i="240"/>
  <c r="E118" i="240"/>
  <c r="E119" i="240"/>
  <c r="E120" i="240"/>
  <c r="E123" i="240"/>
  <c r="E124" i="240"/>
  <c r="E126" i="240"/>
  <c r="E127" i="240"/>
  <c r="E128" i="240"/>
  <c r="E129" i="240"/>
  <c r="E130" i="240"/>
  <c r="E131" i="240"/>
  <c r="E132" i="240"/>
  <c r="E133" i="240"/>
  <c r="E134" i="240"/>
  <c r="E135" i="240"/>
  <c r="E136" i="240"/>
  <c r="E137" i="240"/>
  <c r="E138" i="240"/>
  <c r="E139" i="240"/>
  <c r="E140" i="240"/>
  <c r="E141" i="240"/>
  <c r="E142" i="240"/>
  <c r="E143" i="240"/>
  <c r="E144" i="240"/>
  <c r="E145" i="240"/>
  <c r="E146" i="240"/>
  <c r="E147" i="240"/>
  <c r="E149" i="240"/>
  <c r="E150" i="240"/>
  <c r="E151" i="240"/>
  <c r="E152" i="240"/>
  <c r="E153" i="240"/>
  <c r="E154" i="240"/>
  <c r="E155" i="240"/>
  <c r="E156" i="240"/>
  <c r="E157" i="240"/>
  <c r="E158" i="240"/>
  <c r="E159" i="240"/>
  <c r="E160" i="240"/>
  <c r="E161" i="240"/>
  <c r="E162" i="240"/>
  <c r="E163" i="240"/>
  <c r="E164" i="240"/>
  <c r="E165" i="240"/>
  <c r="E166" i="240"/>
  <c r="E167" i="240"/>
  <c r="E168" i="240"/>
  <c r="E169" i="240"/>
  <c r="E170" i="240"/>
  <c r="E171" i="240"/>
  <c r="E172" i="240"/>
  <c r="E173" i="240"/>
  <c r="E174" i="240"/>
  <c r="E175" i="240"/>
  <c r="E176" i="240"/>
  <c r="E177" i="240"/>
  <c r="E178" i="240"/>
  <c r="E179" i="240"/>
  <c r="E180" i="240"/>
  <c r="E181" i="240"/>
  <c r="E182" i="240"/>
  <c r="E185" i="240"/>
  <c r="E186" i="240"/>
  <c r="E187" i="240"/>
  <c r="E188" i="240"/>
  <c r="E189" i="240"/>
  <c r="E190" i="240"/>
  <c r="E191" i="240"/>
  <c r="E192" i="240"/>
  <c r="E193" i="240"/>
  <c r="E194" i="240"/>
  <c r="E195" i="240"/>
  <c r="E196" i="240"/>
  <c r="E197" i="240"/>
  <c r="E198" i="240"/>
  <c r="E199" i="240"/>
  <c r="E200" i="240"/>
  <c r="E201" i="240"/>
  <c r="E202" i="240"/>
  <c r="E203" i="240"/>
  <c r="E204" i="240"/>
  <c r="E205" i="240"/>
  <c r="E206" i="240"/>
  <c r="E207" i="240"/>
  <c r="E208" i="240"/>
  <c r="E209" i="240"/>
  <c r="E210" i="240"/>
  <c r="E211" i="240"/>
  <c r="E212" i="240"/>
  <c r="E213" i="240"/>
  <c r="E214" i="240"/>
  <c r="E215" i="240"/>
  <c r="E216" i="240"/>
  <c r="E217" i="240"/>
  <c r="E218" i="240"/>
  <c r="E219" i="240"/>
  <c r="E220" i="240"/>
  <c r="E221" i="240"/>
  <c r="E222" i="240"/>
  <c r="E223" i="240"/>
  <c r="E224" i="240"/>
  <c r="E225" i="240"/>
  <c r="E226" i="240"/>
  <c r="E227" i="240"/>
  <c r="E228" i="240"/>
  <c r="E229" i="240"/>
  <c r="E230" i="240"/>
  <c r="E231" i="240"/>
  <c r="E232" i="240"/>
  <c r="E233" i="240"/>
  <c r="E234" i="240"/>
  <c r="E235" i="240"/>
  <c r="E236" i="240"/>
  <c r="E237" i="240"/>
  <c r="E238" i="240"/>
  <c r="E239" i="240"/>
  <c r="E240" i="240"/>
  <c r="E241" i="240"/>
  <c r="E242" i="240"/>
  <c r="E243" i="240"/>
  <c r="E244" i="240"/>
  <c r="E245" i="240"/>
  <c r="E246" i="240"/>
  <c r="E247" i="240"/>
  <c r="E248" i="240"/>
  <c r="E249" i="240"/>
  <c r="E250" i="240"/>
  <c r="E251" i="240"/>
  <c r="E252" i="240"/>
  <c r="E253" i="240"/>
  <c r="E254" i="240"/>
  <c r="E255" i="240"/>
  <c r="E256" i="240"/>
  <c r="E257" i="240"/>
  <c r="E258" i="240"/>
  <c r="E260" i="240"/>
  <c r="E262" i="240"/>
  <c r="E263" i="240"/>
  <c r="E264" i="240"/>
  <c r="E265" i="240"/>
  <c r="E266" i="240"/>
  <c r="E267" i="240"/>
  <c r="E268" i="240"/>
  <c r="E270" i="240"/>
  <c r="E271" i="240"/>
  <c r="E272" i="240"/>
  <c r="E273" i="240"/>
  <c r="E274" i="240"/>
  <c r="E275" i="240"/>
  <c r="E276" i="240"/>
  <c r="E278" i="240"/>
  <c r="E279" i="240"/>
  <c r="E280" i="240"/>
  <c r="E281" i="240"/>
  <c r="E282" i="240"/>
  <c r="E283" i="240"/>
  <c r="E284" i="240"/>
  <c r="E285" i="240"/>
  <c r="E286" i="240"/>
  <c r="E287" i="240"/>
  <c r="E288" i="240"/>
  <c r="E289" i="240"/>
  <c r="E290" i="240"/>
  <c r="E291" i="240"/>
  <c r="E292" i="240"/>
  <c r="E293" i="240"/>
  <c r="E294" i="240"/>
  <c r="E295" i="240"/>
  <c r="E296" i="240"/>
  <c r="E297" i="240"/>
  <c r="E298" i="240"/>
  <c r="E299" i="240"/>
  <c r="E300" i="240"/>
  <c r="E301" i="240"/>
  <c r="E302" i="240"/>
  <c r="E303" i="240"/>
  <c r="E304" i="240"/>
  <c r="E306" i="240"/>
  <c r="E307" i="240"/>
  <c r="E308" i="240"/>
  <c r="E309" i="240"/>
  <c r="E310" i="240"/>
  <c r="E311" i="240"/>
  <c r="E312" i="240"/>
  <c r="E313" i="240"/>
  <c r="E314" i="240"/>
  <c r="E315" i="240"/>
  <c r="E316" i="240"/>
  <c r="E317" i="240"/>
  <c r="E318" i="240"/>
  <c r="E319" i="240"/>
  <c r="E320" i="240"/>
  <c r="E321" i="240"/>
  <c r="E322" i="240"/>
  <c r="E323" i="240"/>
  <c r="E324" i="240"/>
  <c r="E325" i="240"/>
  <c r="E326" i="240"/>
  <c r="E327" i="240"/>
  <c r="E328" i="240"/>
  <c r="E329" i="240"/>
  <c r="E330" i="240"/>
  <c r="E331" i="240"/>
  <c r="E332" i="240"/>
  <c r="E333" i="240"/>
  <c r="E334" i="240"/>
  <c r="E335" i="240"/>
  <c r="E336" i="240"/>
  <c r="E337" i="240"/>
  <c r="E338" i="240"/>
  <c r="E339" i="240"/>
  <c r="E340" i="240"/>
  <c r="E341" i="240"/>
  <c r="E342" i="240"/>
  <c r="E343" i="240"/>
  <c r="E344" i="240"/>
  <c r="E345" i="240"/>
  <c r="E346" i="240"/>
  <c r="E347" i="240"/>
  <c r="E348" i="240"/>
  <c r="E349" i="240"/>
  <c r="E350" i="240"/>
  <c r="E351" i="240"/>
  <c r="E352" i="240"/>
  <c r="E353" i="240"/>
  <c r="E354" i="240"/>
  <c r="E355" i="240"/>
  <c r="E356" i="240"/>
  <c r="E357" i="240"/>
  <c r="E358" i="240"/>
  <c r="E359" i="240"/>
  <c r="E360" i="240"/>
  <c r="E361" i="240"/>
  <c r="E362" i="240"/>
  <c r="E363" i="240"/>
  <c r="E364" i="240"/>
  <c r="E365" i="240"/>
  <c r="E366" i="240"/>
  <c r="E367" i="240"/>
  <c r="E368" i="240"/>
  <c r="E369" i="240"/>
  <c r="E370" i="240"/>
  <c r="E371" i="240"/>
  <c r="E372" i="240"/>
  <c r="E373" i="240"/>
  <c r="E374" i="240"/>
  <c r="E375" i="240"/>
  <c r="E376" i="240"/>
  <c r="E378" i="240"/>
  <c r="E380" i="240"/>
  <c r="E381" i="240"/>
  <c r="E382" i="240"/>
  <c r="E383" i="240"/>
  <c r="E384" i="240"/>
  <c r="E385" i="240"/>
  <c r="E386" i="240"/>
  <c r="E387" i="240"/>
  <c r="E388" i="240"/>
  <c r="E389" i="240"/>
  <c r="E390" i="240"/>
  <c r="E391" i="240"/>
  <c r="E392" i="240"/>
  <c r="E393" i="240"/>
  <c r="E394" i="240"/>
  <c r="E395" i="240"/>
  <c r="E396" i="240"/>
  <c r="E397" i="240"/>
  <c r="E398" i="240"/>
  <c r="E399" i="240"/>
  <c r="E400" i="240"/>
  <c r="E401" i="240"/>
  <c r="E404" i="240"/>
  <c r="E405" i="240"/>
  <c r="E408" i="240"/>
  <c r="E409" i="240"/>
  <c r="E410" i="240"/>
  <c r="E411" i="240"/>
  <c r="E412" i="240"/>
  <c r="E413" i="240"/>
  <c r="E416" i="240"/>
  <c r="E417" i="240"/>
  <c r="E418" i="240"/>
  <c r="E419" i="240"/>
  <c r="E420" i="240"/>
  <c r="E421" i="240"/>
  <c r="E422" i="240"/>
  <c r="E423" i="240"/>
  <c r="E424" i="240"/>
  <c r="E425" i="240"/>
  <c r="E426" i="240"/>
  <c r="E427" i="240"/>
  <c r="E428" i="240"/>
  <c r="E429" i="240"/>
  <c r="E430" i="240"/>
  <c r="E431" i="240"/>
  <c r="E432" i="240"/>
  <c r="E433" i="240"/>
  <c r="E434" i="240"/>
  <c r="E435" i="240"/>
  <c r="E436" i="240"/>
  <c r="E437" i="240"/>
  <c r="E438" i="240"/>
  <c r="E439" i="240"/>
  <c r="E440" i="240"/>
  <c r="E441" i="240"/>
  <c r="E442" i="240"/>
  <c r="E443" i="240"/>
  <c r="E444" i="240"/>
  <c r="E445" i="240"/>
  <c r="E446" i="240"/>
  <c r="E447" i="240"/>
  <c r="E448" i="240"/>
  <c r="E449" i="240"/>
  <c r="E450" i="240"/>
  <c r="E451" i="240"/>
  <c r="E452" i="240"/>
  <c r="E453" i="240"/>
  <c r="E454" i="240"/>
  <c r="E455" i="240"/>
  <c r="E456" i="240"/>
  <c r="E457" i="240"/>
  <c r="E458" i="240"/>
  <c r="E459" i="240"/>
  <c r="E460" i="240"/>
  <c r="E461" i="240"/>
  <c r="E462" i="240"/>
  <c r="E463" i="240"/>
  <c r="E464" i="240"/>
  <c r="E465" i="240"/>
  <c r="E466" i="240"/>
  <c r="E467" i="240"/>
  <c r="E468" i="240"/>
  <c r="E469" i="240"/>
  <c r="E470" i="240"/>
  <c r="E471" i="240"/>
  <c r="E472" i="240"/>
  <c r="E473" i="240"/>
  <c r="E474" i="240"/>
  <c r="E475" i="240"/>
  <c r="E476" i="240"/>
  <c r="E477" i="240"/>
  <c r="E478" i="240"/>
  <c r="E479" i="240"/>
  <c r="E480" i="240"/>
  <c r="E481" i="240"/>
  <c r="E482" i="240"/>
  <c r="E483" i="240"/>
  <c r="E484" i="240"/>
  <c r="E485" i="240"/>
  <c r="E486" i="240"/>
  <c r="E487" i="240"/>
  <c r="E488" i="240"/>
  <c r="E489" i="240"/>
  <c r="E490" i="240"/>
  <c r="E491" i="240"/>
  <c r="E492" i="240"/>
  <c r="E493" i="240"/>
  <c r="E494" i="240"/>
  <c r="E495" i="240"/>
  <c r="E496" i="240"/>
  <c r="E497" i="240"/>
  <c r="E498" i="240"/>
  <c r="E499" i="240"/>
  <c r="E500" i="240"/>
  <c r="E501" i="240"/>
  <c r="E503" i="240"/>
  <c r="E504" i="240"/>
  <c r="E506" i="240"/>
  <c r="E508" i="240"/>
  <c r="E510" i="240"/>
  <c r="E512" i="240"/>
  <c r="E513" i="240"/>
  <c r="E514" i="240"/>
  <c r="E516" i="240"/>
  <c r="E518" i="240"/>
  <c r="E519" i="240"/>
  <c r="E520" i="240"/>
  <c r="E521" i="240"/>
  <c r="E523" i="240"/>
  <c r="E525" i="240"/>
  <c r="E527" i="240"/>
  <c r="E528" i="240"/>
  <c r="E530" i="240"/>
  <c r="E531" i="240"/>
  <c r="E533" i="240"/>
  <c r="E534" i="240"/>
  <c r="E536" i="240"/>
  <c r="E537" i="240"/>
  <c r="E539" i="240"/>
  <c r="E540" i="240"/>
  <c r="E541" i="240"/>
  <c r="E542" i="240"/>
  <c r="E544" i="240"/>
  <c r="E546" i="240"/>
  <c r="E549" i="240"/>
  <c r="E555" i="240"/>
  <c r="E557" i="240"/>
  <c r="E558" i="240"/>
  <c r="E559" i="240"/>
  <c r="E565" i="240"/>
  <c r="E568" i="240"/>
  <c r="E569" i="240"/>
  <c r="E573" i="240"/>
  <c r="E574" i="240"/>
  <c r="E576" i="240"/>
  <c r="E578" i="240"/>
  <c r="E580" i="240"/>
  <c r="E582" i="240"/>
  <c r="E583" i="240"/>
  <c r="E584" i="240"/>
  <c r="E587" i="240"/>
  <c r="E590" i="240"/>
  <c r="E591" i="240"/>
  <c r="E592" i="240"/>
  <c r="E593" i="240"/>
  <c r="E595" i="240"/>
  <c r="E597" i="240"/>
  <c r="E598" i="240"/>
  <c r="E599" i="240"/>
  <c r="E600" i="240"/>
  <c r="E603" i="240"/>
  <c r="E604" i="240"/>
  <c r="E607" i="240"/>
  <c r="E608" i="240"/>
  <c r="E611" i="240"/>
  <c r="E614" i="240"/>
  <c r="E616" i="240"/>
  <c r="E618" i="240"/>
  <c r="E620" i="240"/>
  <c r="E621" i="240"/>
  <c r="E622" i="240"/>
  <c r="E623" i="240"/>
  <c r="E625" i="240"/>
  <c r="E627" i="240"/>
  <c r="E628" i="240"/>
  <c r="E629" i="240"/>
  <c r="E632" i="240"/>
  <c r="E634" i="240"/>
  <c r="E637" i="240"/>
  <c r="E638" i="240"/>
  <c r="E641" i="240"/>
  <c r="E642" i="240"/>
  <c r="E643" i="240"/>
  <c r="E644" i="240"/>
  <c r="E645" i="240"/>
  <c r="E646" i="240"/>
  <c r="E648" i="240"/>
  <c r="E650" i="240"/>
  <c r="E653" i="240"/>
  <c r="E654" i="240"/>
  <c r="E655" i="240"/>
  <c r="E656" i="240"/>
  <c r="E657" i="240"/>
  <c r="E658" i="240"/>
  <c r="E659" i="240"/>
  <c r="E662" i="240"/>
  <c r="E664" i="240"/>
  <c r="E665" i="240"/>
  <c r="E666" i="240"/>
  <c r="E669" i="240"/>
  <c r="E671" i="240"/>
  <c r="E673" i="240"/>
  <c r="E676" i="240"/>
  <c r="E677" i="240"/>
  <c r="E678" i="240"/>
  <c r="E679" i="240"/>
  <c r="E680" i="240"/>
  <c r="E681" i="240"/>
  <c r="E682" i="240"/>
  <c r="E703" i="240"/>
  <c r="E704" i="240"/>
  <c r="E705" i="240"/>
  <c r="E706" i="240"/>
  <c r="E708" i="240"/>
  <c r="E710" i="240"/>
  <c r="E718" i="240"/>
  <c r="E719" i="240"/>
  <c r="E720" i="240"/>
  <c r="E721" i="240"/>
  <c r="E726" i="240"/>
  <c r="E728" i="240"/>
  <c r="E729" i="240"/>
  <c r="E731" i="240"/>
  <c r="E733" i="240"/>
  <c r="E734" i="240"/>
  <c r="E739" i="240"/>
  <c r="E753" i="240"/>
  <c r="E755" i="240"/>
  <c r="E761" i="240"/>
  <c r="E767" i="240"/>
  <c r="E770" i="240"/>
  <c r="E774" i="240"/>
  <c r="E776" i="240"/>
  <c r="E796" i="240"/>
  <c r="E797" i="240"/>
  <c r="E798" i="240"/>
  <c r="E799" i="240"/>
  <c r="E801" i="240"/>
  <c r="E802" i="240"/>
  <c r="E803" i="240"/>
  <c r="E804" i="240"/>
  <c r="E805" i="240"/>
  <c r="E810" i="240"/>
  <c r="E812" i="240"/>
  <c r="E817" i="240"/>
  <c r="E819" i="240"/>
  <c r="E822" i="240"/>
  <c r="E827" i="240"/>
  <c r="E828" i="240"/>
  <c r="E829" i="240"/>
  <c r="E831" i="240"/>
  <c r="E834" i="240"/>
  <c r="E835" i="240"/>
  <c r="E836" i="240"/>
  <c r="E838" i="240"/>
  <c r="E839" i="240"/>
  <c r="E842" i="240"/>
  <c r="E843" i="240"/>
  <c r="E844" i="240"/>
  <c r="E845" i="240"/>
  <c r="E846" i="240"/>
  <c r="E847" i="240"/>
  <c r="E849" i="240"/>
  <c r="E851" i="240"/>
  <c r="E852" i="240"/>
  <c r="E854" i="240"/>
  <c r="E855" i="240"/>
  <c r="E856" i="240"/>
  <c r="E857" i="240"/>
  <c r="E858" i="240"/>
  <c r="E859" i="240"/>
  <c r="E860" i="240"/>
  <c r="E861" i="240"/>
  <c r="E867" i="240"/>
  <c r="E870" i="240"/>
  <c r="E871" i="240"/>
  <c r="E872" i="240"/>
  <c r="E877" i="240"/>
  <c r="E882" i="240"/>
  <c r="E884" i="240"/>
  <c r="E885" i="240"/>
  <c r="E889" i="240"/>
  <c r="E890" i="240"/>
  <c r="E891" i="240"/>
  <c r="E893" i="240"/>
  <c r="E895" i="240"/>
  <c r="E897" i="240"/>
  <c r="E899" i="240"/>
  <c r="E902" i="240"/>
  <c r="E904" i="240"/>
  <c r="E906" i="240"/>
  <c r="E910" i="240"/>
  <c r="E911" i="240"/>
  <c r="E912" i="240"/>
  <c r="E915" i="240"/>
  <c r="E916" i="240"/>
  <c r="E919" i="240"/>
  <c r="E921" i="240"/>
  <c r="E922" i="240"/>
  <c r="E926" i="240"/>
  <c r="E927" i="240"/>
  <c r="E928" i="240"/>
  <c r="E929" i="240"/>
  <c r="E930" i="240"/>
  <c r="E932" i="240"/>
  <c r="E933" i="240"/>
  <c r="E934" i="240"/>
  <c r="E935" i="240"/>
  <c r="E937" i="240"/>
  <c r="E938" i="240"/>
  <c r="E939" i="240"/>
  <c r="E941" i="240"/>
  <c r="E943" i="240"/>
  <c r="E944" i="240"/>
  <c r="E945" i="240"/>
  <c r="E946" i="240"/>
  <c r="E947" i="240"/>
  <c r="E948" i="240"/>
  <c r="E19" i="240"/>
  <c r="P25" i="226"/>
  <c r="P30" i="226" s="1"/>
  <c r="Q25" i="226"/>
  <c r="Q30" i="226" s="1"/>
  <c r="R25" i="226"/>
  <c r="R30" i="226" s="1"/>
  <c r="S25" i="226"/>
  <c r="S30" i="226" s="1"/>
  <c r="E25" i="226"/>
  <c r="E30" i="226" s="1"/>
  <c r="F25" i="226"/>
  <c r="F30" i="226" s="1"/>
  <c r="G25" i="226"/>
  <c r="G30" i="226" s="1"/>
  <c r="H25" i="226"/>
  <c r="H30" i="226" s="1"/>
  <c r="I25" i="226"/>
  <c r="I30" i="226" s="1"/>
  <c r="J25" i="226"/>
  <c r="J30" i="226" s="1"/>
  <c r="K25" i="226"/>
  <c r="K30" i="226" s="1"/>
  <c r="L25" i="226"/>
  <c r="L30" i="226" s="1"/>
  <c r="M25" i="226"/>
  <c r="M30" i="226" s="1"/>
  <c r="N25" i="226"/>
  <c r="N30" i="226" s="1"/>
  <c r="O25" i="226"/>
  <c r="O30" i="226" s="1"/>
  <c r="D25" i="226"/>
  <c r="D30" i="226" s="1"/>
  <c r="C48" i="226"/>
  <c r="C51" i="226"/>
  <c r="C50" i="226"/>
  <c r="C49" i="226"/>
  <c r="C47" i="226"/>
  <c r="C46" i="226"/>
  <c r="C45" i="226"/>
  <c r="C44" i="226"/>
  <c r="C43" i="226"/>
  <c r="C42" i="226"/>
  <c r="C41" i="226"/>
  <c r="C40" i="226"/>
  <c r="C39" i="226"/>
  <c r="C38" i="226"/>
  <c r="C37" i="226"/>
  <c r="C36" i="226"/>
  <c r="E35" i="226"/>
  <c r="F35" i="226"/>
  <c r="G35" i="226"/>
  <c r="H35" i="226"/>
  <c r="I35" i="226"/>
  <c r="J35" i="226"/>
  <c r="K35" i="226"/>
  <c r="L35" i="226"/>
  <c r="M35" i="226"/>
  <c r="N35" i="226"/>
  <c r="O35" i="226"/>
  <c r="P35" i="226"/>
  <c r="Q35" i="226"/>
  <c r="R35" i="226"/>
  <c r="S35" i="226"/>
  <c r="D35" i="226"/>
  <c r="E29" i="226"/>
  <c r="F29" i="226"/>
  <c r="G29" i="226"/>
  <c r="H29" i="226"/>
  <c r="I29" i="226"/>
  <c r="J29" i="226"/>
  <c r="K29" i="226"/>
  <c r="L29" i="226"/>
  <c r="M29" i="226"/>
  <c r="N29" i="226"/>
  <c r="O29" i="226"/>
  <c r="P29" i="226"/>
  <c r="Q29" i="226"/>
  <c r="R29" i="226"/>
  <c r="S29" i="226"/>
  <c r="D29" i="226"/>
  <c r="CX44" i="224"/>
  <c r="CX45" i="224"/>
  <c r="CX46" i="224"/>
  <c r="CX47" i="224"/>
  <c r="CX48" i="224"/>
  <c r="CX49" i="224"/>
  <c r="CX50" i="224"/>
  <c r="CX51" i="224"/>
  <c r="CX52" i="224"/>
  <c r="CX53" i="224"/>
  <c r="CX54" i="224"/>
  <c r="CX55" i="224"/>
  <c r="CX56" i="224"/>
  <c r="CX57" i="224"/>
  <c r="CX58" i="224"/>
  <c r="CX59" i="224"/>
  <c r="CW44" i="224"/>
  <c r="CW45" i="224"/>
  <c r="CW46" i="224"/>
  <c r="CW47" i="224"/>
  <c r="CW48" i="224"/>
  <c r="CW49" i="224"/>
  <c r="CW50" i="224"/>
  <c r="CW51" i="224"/>
  <c r="CW52" i="224"/>
  <c r="CW53" i="224"/>
  <c r="CW54" i="224"/>
  <c r="CW55" i="224"/>
  <c r="CW56" i="224"/>
  <c r="CW57" i="224"/>
  <c r="CW58" i="224"/>
  <c r="CW59" i="224"/>
  <c r="CV44" i="224"/>
  <c r="CV45" i="224"/>
  <c r="CV46" i="224"/>
  <c r="CV47" i="224"/>
  <c r="CV48" i="224"/>
  <c r="CV49" i="224"/>
  <c r="CV50" i="224"/>
  <c r="CV51" i="224"/>
  <c r="CV52" i="224"/>
  <c r="CV53" i="224"/>
  <c r="CV54" i="224"/>
  <c r="CV55" i="224"/>
  <c r="CV56" i="224"/>
  <c r="CV57" i="224"/>
  <c r="CV58" i="224"/>
  <c r="CV59" i="224"/>
  <c r="CU44" i="224"/>
  <c r="CU45" i="224"/>
  <c r="CU46" i="224"/>
  <c r="CU47" i="224"/>
  <c r="CU48" i="224"/>
  <c r="CU49" i="224"/>
  <c r="CU50" i="224"/>
  <c r="CU51" i="224"/>
  <c r="CU52" i="224"/>
  <c r="CU53" i="224"/>
  <c r="CU54" i="224"/>
  <c r="CU55" i="224"/>
  <c r="CU56" i="224"/>
  <c r="CU57" i="224"/>
  <c r="CU58" i="224"/>
  <c r="CU59" i="224"/>
  <c r="CT44" i="224"/>
  <c r="CT45" i="224"/>
  <c r="CT46" i="224"/>
  <c r="CT47" i="224"/>
  <c r="CT48" i="224"/>
  <c r="CT49" i="224"/>
  <c r="CT50" i="224"/>
  <c r="CT51" i="224"/>
  <c r="CT52" i="224"/>
  <c r="CT53" i="224"/>
  <c r="CT54" i="224"/>
  <c r="CT55" i="224"/>
  <c r="CT56" i="224"/>
  <c r="CT57" i="224"/>
  <c r="CT58" i="224"/>
  <c r="CT59" i="224"/>
  <c r="CS44" i="224"/>
  <c r="CS45" i="224"/>
  <c r="CS46" i="224"/>
  <c r="CS47" i="224"/>
  <c r="CS48" i="224"/>
  <c r="CS49" i="224"/>
  <c r="CS50" i="224"/>
  <c r="CS51" i="224"/>
  <c r="CS52" i="224"/>
  <c r="CS53" i="224"/>
  <c r="CS54" i="224"/>
  <c r="CS55" i="224"/>
  <c r="CS56" i="224"/>
  <c r="CS57" i="224"/>
  <c r="CS58" i="224"/>
  <c r="CS59" i="224"/>
  <c r="CR44" i="224"/>
  <c r="CR45" i="224"/>
  <c r="CR46" i="224"/>
  <c r="CR47" i="224"/>
  <c r="CR48" i="224"/>
  <c r="CR49" i="224"/>
  <c r="CR50" i="224"/>
  <c r="CR51" i="224"/>
  <c r="CR52" i="224"/>
  <c r="CR53" i="224"/>
  <c r="CR54" i="224"/>
  <c r="CR55" i="224"/>
  <c r="CR56" i="224"/>
  <c r="CR57" i="224"/>
  <c r="CR58" i="224"/>
  <c r="CR59" i="224"/>
  <c r="CQ44" i="224"/>
  <c r="CQ45" i="224"/>
  <c r="CQ46" i="224"/>
  <c r="CQ47" i="224"/>
  <c r="CQ48" i="224"/>
  <c r="CQ49" i="224"/>
  <c r="CQ50" i="224"/>
  <c r="CQ51" i="224"/>
  <c r="CQ52" i="224"/>
  <c r="CQ53" i="224"/>
  <c r="CQ54" i="224"/>
  <c r="CQ55" i="224"/>
  <c r="CQ56" i="224"/>
  <c r="CQ57" i="224"/>
  <c r="CQ58" i="224"/>
  <c r="CQ59" i="224"/>
  <c r="CO44" i="224"/>
  <c r="CO45" i="224"/>
  <c r="CO46" i="224"/>
  <c r="CO47" i="224"/>
  <c r="CO48" i="224"/>
  <c r="CO49" i="224"/>
  <c r="CO50" i="224"/>
  <c r="CO51" i="224"/>
  <c r="CO52" i="224"/>
  <c r="CO53" i="224"/>
  <c r="CO54" i="224"/>
  <c r="CO55" i="224"/>
  <c r="CO56" i="224"/>
  <c r="CO57" i="224"/>
  <c r="CO58" i="224"/>
  <c r="CO59" i="224"/>
  <c r="CN44" i="224"/>
  <c r="CN45" i="224"/>
  <c r="CN46" i="224"/>
  <c r="CN47" i="224"/>
  <c r="CN48" i="224"/>
  <c r="CN49" i="224"/>
  <c r="CN50" i="224"/>
  <c r="CN51" i="224"/>
  <c r="CN52" i="224"/>
  <c r="CN53" i="224"/>
  <c r="CN54" i="224"/>
  <c r="CN55" i="224"/>
  <c r="CN56" i="224"/>
  <c r="CN57" i="224"/>
  <c r="CN58" i="224"/>
  <c r="CN59" i="224"/>
  <c r="CM44" i="224"/>
  <c r="CM45" i="224"/>
  <c r="CM46" i="224"/>
  <c r="CM47" i="224"/>
  <c r="CM48" i="224"/>
  <c r="CM49" i="224"/>
  <c r="CM50" i="224"/>
  <c r="CM51" i="224"/>
  <c r="CM52" i="224"/>
  <c r="CM53" i="224"/>
  <c r="CM54" i="224"/>
  <c r="CM55" i="224"/>
  <c r="CM56" i="224"/>
  <c r="CM57" i="224"/>
  <c r="CM58" i="224"/>
  <c r="CM59" i="224"/>
  <c r="CL44" i="224"/>
  <c r="CL45" i="224"/>
  <c r="CL46" i="224"/>
  <c r="CL47" i="224"/>
  <c r="CL48" i="224"/>
  <c r="CL49" i="224"/>
  <c r="CL50" i="224"/>
  <c r="CL51" i="224"/>
  <c r="CL52" i="224"/>
  <c r="CL53" i="224"/>
  <c r="CL54" i="224"/>
  <c r="CL55" i="224"/>
  <c r="CL56" i="224"/>
  <c r="CL57" i="224"/>
  <c r="CL58" i="224"/>
  <c r="CL59" i="224"/>
  <c r="CK44" i="224"/>
  <c r="CK45" i="224"/>
  <c r="CK46" i="224"/>
  <c r="CK47" i="224"/>
  <c r="CK48" i="224"/>
  <c r="CK49" i="224"/>
  <c r="CK50" i="224"/>
  <c r="CK51" i="224"/>
  <c r="CK52" i="224"/>
  <c r="CK53" i="224"/>
  <c r="CK54" i="224"/>
  <c r="CK55" i="224"/>
  <c r="CK56" i="224"/>
  <c r="CK57" i="224"/>
  <c r="CK58" i="224"/>
  <c r="CK59" i="224"/>
  <c r="CJ44" i="224"/>
  <c r="CJ45" i="224"/>
  <c r="CJ46" i="224"/>
  <c r="CJ47" i="224"/>
  <c r="CJ48" i="224"/>
  <c r="CJ49" i="224"/>
  <c r="CJ50" i="224"/>
  <c r="CJ51" i="224"/>
  <c r="CJ52" i="224"/>
  <c r="CJ53" i="224"/>
  <c r="CJ54" i="224"/>
  <c r="CJ55" i="224"/>
  <c r="CJ56" i="224"/>
  <c r="CJ57" i="224"/>
  <c r="CJ58" i="224"/>
  <c r="CJ59" i="224"/>
  <c r="CI44" i="224"/>
  <c r="CI45" i="224"/>
  <c r="CI46" i="224"/>
  <c r="CI47" i="224"/>
  <c r="CI48" i="224"/>
  <c r="CI49" i="224"/>
  <c r="CI50" i="224"/>
  <c r="CI51" i="224"/>
  <c r="CI52" i="224"/>
  <c r="CI53" i="224"/>
  <c r="CI54" i="224"/>
  <c r="CI55" i="224"/>
  <c r="CI56" i="224"/>
  <c r="CI57" i="224"/>
  <c r="CI58" i="224"/>
  <c r="CI59" i="224"/>
  <c r="CH44" i="224"/>
  <c r="CH45" i="224"/>
  <c r="CH46" i="224"/>
  <c r="CH47" i="224"/>
  <c r="CH48" i="224"/>
  <c r="CH49" i="224"/>
  <c r="CH50" i="224"/>
  <c r="CH51" i="224"/>
  <c r="CH52" i="224"/>
  <c r="CH53" i="224"/>
  <c r="CH54" i="224"/>
  <c r="CH55" i="224"/>
  <c r="CH56" i="224"/>
  <c r="CH57" i="224"/>
  <c r="CH58" i="224"/>
  <c r="CH59" i="224"/>
  <c r="CG44" i="224"/>
  <c r="CG45" i="224"/>
  <c r="CG46" i="224"/>
  <c r="CG47" i="224"/>
  <c r="CG48" i="224"/>
  <c r="CG49" i="224"/>
  <c r="CG50" i="224"/>
  <c r="CG51" i="224"/>
  <c r="CG52" i="224"/>
  <c r="CG53" i="224"/>
  <c r="CG54" i="224"/>
  <c r="CG55" i="224"/>
  <c r="CG56" i="224"/>
  <c r="CG57" i="224"/>
  <c r="CG58" i="224"/>
  <c r="CG59" i="224"/>
  <c r="CE44" i="224"/>
  <c r="CE45" i="224"/>
  <c r="CE46" i="224"/>
  <c r="CE47" i="224"/>
  <c r="CE48" i="224"/>
  <c r="CE49" i="224"/>
  <c r="CE50" i="224"/>
  <c r="CE51" i="224"/>
  <c r="CE52" i="224"/>
  <c r="CE53" i="224"/>
  <c r="CE54" i="224"/>
  <c r="CE55" i="224"/>
  <c r="CE56" i="224"/>
  <c r="CE57" i="224"/>
  <c r="CE58" i="224"/>
  <c r="CE59" i="224"/>
  <c r="CD44" i="224"/>
  <c r="CD45" i="224"/>
  <c r="CD46" i="224"/>
  <c r="CD47" i="224"/>
  <c r="CD48" i="224"/>
  <c r="CD49" i="224"/>
  <c r="CD50" i="224"/>
  <c r="CD51" i="224"/>
  <c r="CD52" i="224"/>
  <c r="CD53" i="224"/>
  <c r="CD54" i="224"/>
  <c r="CD55" i="224"/>
  <c r="CD56" i="224"/>
  <c r="CD57" i="224"/>
  <c r="CD58" i="224"/>
  <c r="CD59" i="224"/>
  <c r="CC44" i="224"/>
  <c r="CC45" i="224"/>
  <c r="CC46" i="224"/>
  <c r="CC47" i="224"/>
  <c r="CC48" i="224"/>
  <c r="CC49" i="224"/>
  <c r="CC50" i="224"/>
  <c r="CC51" i="224"/>
  <c r="CC52" i="224"/>
  <c r="CC53" i="224"/>
  <c r="CC54" i="224"/>
  <c r="CC55" i="224"/>
  <c r="CC56" i="224"/>
  <c r="CC57" i="224"/>
  <c r="CC58" i="224"/>
  <c r="CC59" i="224"/>
  <c r="CB44" i="224"/>
  <c r="CB45" i="224"/>
  <c r="CB46" i="224"/>
  <c r="CB47" i="224"/>
  <c r="CB48" i="224"/>
  <c r="CB49" i="224"/>
  <c r="CB50" i="224"/>
  <c r="CB51" i="224"/>
  <c r="CB52" i="224"/>
  <c r="CB53" i="224"/>
  <c r="CB54" i="224"/>
  <c r="CB55" i="224"/>
  <c r="CB56" i="224"/>
  <c r="CB57" i="224"/>
  <c r="CB58" i="224"/>
  <c r="CB59" i="224"/>
  <c r="CA44" i="224"/>
  <c r="CA45" i="224"/>
  <c r="CA46" i="224"/>
  <c r="CA47" i="224"/>
  <c r="CA48" i="224"/>
  <c r="CA49" i="224"/>
  <c r="CA50" i="224"/>
  <c r="CA51" i="224"/>
  <c r="CA52" i="224"/>
  <c r="CA53" i="224"/>
  <c r="CA54" i="224"/>
  <c r="CA55" i="224"/>
  <c r="CA56" i="224"/>
  <c r="CA57" i="224"/>
  <c r="CA58" i="224"/>
  <c r="CA59" i="224"/>
  <c r="BZ44" i="224"/>
  <c r="BZ45" i="224"/>
  <c r="BZ46" i="224"/>
  <c r="BZ47" i="224"/>
  <c r="BZ48" i="224"/>
  <c r="BZ49" i="224"/>
  <c r="BZ50" i="224"/>
  <c r="BZ51" i="224"/>
  <c r="BZ52" i="224"/>
  <c r="BZ53" i="224"/>
  <c r="BZ54" i="224"/>
  <c r="BZ55" i="224"/>
  <c r="BZ56" i="224"/>
  <c r="BZ57" i="224"/>
  <c r="BZ58" i="224"/>
  <c r="BZ59" i="224"/>
  <c r="BY44" i="224"/>
  <c r="BY45" i="224"/>
  <c r="BY46" i="224"/>
  <c r="BY47" i="224"/>
  <c r="BY48" i="224"/>
  <c r="BY49" i="224"/>
  <c r="BY50" i="224"/>
  <c r="BY51" i="224"/>
  <c r="BY52" i="224"/>
  <c r="BY53" i="224"/>
  <c r="BY54" i="224"/>
  <c r="BY55" i="224"/>
  <c r="BY56" i="224"/>
  <c r="BY57" i="224"/>
  <c r="BY58" i="224"/>
  <c r="BY59" i="224"/>
  <c r="BX44" i="224"/>
  <c r="BX45" i="224"/>
  <c r="BX46" i="224"/>
  <c r="BX47" i="224"/>
  <c r="BX48" i="224"/>
  <c r="BX49" i="224"/>
  <c r="BX50" i="224"/>
  <c r="BX51" i="224"/>
  <c r="BX52" i="224"/>
  <c r="BX53" i="224"/>
  <c r="BX54" i="224"/>
  <c r="BX55" i="224"/>
  <c r="BX56" i="224"/>
  <c r="BX57" i="224"/>
  <c r="BX58" i="224"/>
  <c r="BX59" i="224"/>
  <c r="BW44" i="224"/>
  <c r="BW45" i="224"/>
  <c r="BW46" i="224"/>
  <c r="BW47" i="224"/>
  <c r="BW48" i="224"/>
  <c r="BW49" i="224"/>
  <c r="BW50" i="224"/>
  <c r="BW51" i="224"/>
  <c r="BW52" i="224"/>
  <c r="BW53" i="224"/>
  <c r="BW54" i="224"/>
  <c r="BW55" i="224"/>
  <c r="BW56" i="224"/>
  <c r="BW57" i="224"/>
  <c r="BW58" i="224"/>
  <c r="BW59" i="224"/>
  <c r="BU44" i="224"/>
  <c r="BU45" i="224"/>
  <c r="BU46" i="224"/>
  <c r="BU47" i="224"/>
  <c r="BU48" i="224"/>
  <c r="BU49" i="224"/>
  <c r="BU50" i="224"/>
  <c r="BU51" i="224"/>
  <c r="BU52" i="224"/>
  <c r="BU53" i="224"/>
  <c r="BU54" i="224"/>
  <c r="BU55" i="224"/>
  <c r="BU56" i="224"/>
  <c r="BU57" i="224"/>
  <c r="BU58" i="224"/>
  <c r="BU59" i="224"/>
  <c r="BT44" i="224"/>
  <c r="BT45" i="224"/>
  <c r="BT46" i="224"/>
  <c r="BT47" i="224"/>
  <c r="BT48" i="224"/>
  <c r="BT49" i="224"/>
  <c r="BT50" i="224"/>
  <c r="BT51" i="224"/>
  <c r="BT52" i="224"/>
  <c r="BT53" i="224"/>
  <c r="BT54" i="224"/>
  <c r="BT55" i="224"/>
  <c r="BT56" i="224"/>
  <c r="BT57" i="224"/>
  <c r="BT58" i="224"/>
  <c r="BT59" i="224"/>
  <c r="BS44" i="224"/>
  <c r="BS45" i="224"/>
  <c r="BS46" i="224"/>
  <c r="BS47" i="224"/>
  <c r="BS48" i="224"/>
  <c r="BS49" i="224"/>
  <c r="BS50" i="224"/>
  <c r="BS51" i="224"/>
  <c r="BS52" i="224"/>
  <c r="BS53" i="224"/>
  <c r="BS54" i="224"/>
  <c r="BS55" i="224"/>
  <c r="BS56" i="224"/>
  <c r="BS57" i="224"/>
  <c r="BS58" i="224"/>
  <c r="BS59" i="224"/>
  <c r="BR44" i="224"/>
  <c r="BR45" i="224"/>
  <c r="BR46" i="224"/>
  <c r="BR47" i="224"/>
  <c r="BR48" i="224"/>
  <c r="BR49" i="224"/>
  <c r="BR50" i="224"/>
  <c r="BR51" i="224"/>
  <c r="BR52" i="224"/>
  <c r="BR53" i="224"/>
  <c r="BR54" i="224"/>
  <c r="BR55" i="224"/>
  <c r="BR56" i="224"/>
  <c r="BR57" i="224"/>
  <c r="BR58" i="224"/>
  <c r="BR59" i="224"/>
  <c r="BQ44" i="224"/>
  <c r="BQ45" i="224"/>
  <c r="BQ46" i="224"/>
  <c r="BQ47" i="224"/>
  <c r="BQ48" i="224"/>
  <c r="BQ49" i="224"/>
  <c r="BQ50" i="224"/>
  <c r="BQ51" i="224"/>
  <c r="BQ52" i="224"/>
  <c r="BQ53" i="224"/>
  <c r="BQ54" i="224"/>
  <c r="BQ55" i="224"/>
  <c r="BQ56" i="224"/>
  <c r="BQ57" i="224"/>
  <c r="BQ58" i="224"/>
  <c r="BQ59" i="224"/>
  <c r="BP44" i="224"/>
  <c r="BP45" i="224"/>
  <c r="BP46" i="224"/>
  <c r="BP47" i="224"/>
  <c r="BP48" i="224"/>
  <c r="BP49" i="224"/>
  <c r="BP50" i="224"/>
  <c r="BP51" i="224"/>
  <c r="BP52" i="224"/>
  <c r="BP53" i="224"/>
  <c r="BP54" i="224"/>
  <c r="BP55" i="224"/>
  <c r="BP56" i="224"/>
  <c r="BP57" i="224"/>
  <c r="BP58" i="224"/>
  <c r="BP59" i="224"/>
  <c r="BO44" i="224"/>
  <c r="BO45" i="224"/>
  <c r="BO46" i="224"/>
  <c r="BO47" i="224"/>
  <c r="BO48" i="224"/>
  <c r="BO49" i="224"/>
  <c r="BO50" i="224"/>
  <c r="BO51" i="224"/>
  <c r="BO52" i="224"/>
  <c r="BO53" i="224"/>
  <c r="BO54" i="224"/>
  <c r="BO55" i="224"/>
  <c r="BO56" i="224"/>
  <c r="BO57" i="224"/>
  <c r="BO58" i="224"/>
  <c r="BO59" i="224"/>
  <c r="BN44" i="224"/>
  <c r="BN45" i="224"/>
  <c r="BN46" i="224"/>
  <c r="BN47" i="224"/>
  <c r="BN48" i="224"/>
  <c r="BN49" i="224"/>
  <c r="BN50" i="224"/>
  <c r="BN51" i="224"/>
  <c r="BN52" i="224"/>
  <c r="BN53" i="224"/>
  <c r="BN54" i="224"/>
  <c r="BN55" i="224"/>
  <c r="BN56" i="224"/>
  <c r="BN57" i="224"/>
  <c r="BN58" i="224"/>
  <c r="BN59" i="224"/>
  <c r="BM44" i="224"/>
  <c r="BM45" i="224"/>
  <c r="BM46" i="224"/>
  <c r="BM47" i="224"/>
  <c r="BM48" i="224"/>
  <c r="BM49" i="224"/>
  <c r="BM50" i="224"/>
  <c r="BM51" i="224"/>
  <c r="BM52" i="224"/>
  <c r="BM53" i="224"/>
  <c r="BM54" i="224"/>
  <c r="BM55" i="224"/>
  <c r="BM56" i="224"/>
  <c r="BM57" i="224"/>
  <c r="BM58" i="224"/>
  <c r="BM59" i="224"/>
  <c r="BK44" i="224"/>
  <c r="BK45" i="224"/>
  <c r="BK46" i="224"/>
  <c r="BK47" i="224"/>
  <c r="BK48" i="224"/>
  <c r="BK49" i="224"/>
  <c r="BK50" i="224"/>
  <c r="BK51" i="224"/>
  <c r="BK52" i="224"/>
  <c r="BK53" i="224"/>
  <c r="BK54" i="224"/>
  <c r="BK55" i="224"/>
  <c r="BK56" i="224"/>
  <c r="BK57" i="224"/>
  <c r="BK58" i="224"/>
  <c r="BK59" i="224"/>
  <c r="BJ44" i="224"/>
  <c r="BJ45" i="224"/>
  <c r="BJ46" i="224"/>
  <c r="BJ47" i="224"/>
  <c r="BJ48" i="224"/>
  <c r="BJ49" i="224"/>
  <c r="BJ50" i="224"/>
  <c r="BJ51" i="224"/>
  <c r="BJ52" i="224"/>
  <c r="BJ53" i="224"/>
  <c r="BJ54" i="224"/>
  <c r="BJ55" i="224"/>
  <c r="BJ56" i="224"/>
  <c r="BJ57" i="224"/>
  <c r="BJ58" i="224"/>
  <c r="BJ59" i="224"/>
  <c r="BI44" i="224"/>
  <c r="BI45" i="224"/>
  <c r="BI46" i="224"/>
  <c r="BI47" i="224"/>
  <c r="BI48" i="224"/>
  <c r="BI49" i="224"/>
  <c r="BI50" i="224"/>
  <c r="BI51" i="224"/>
  <c r="BI52" i="224"/>
  <c r="BI53" i="224"/>
  <c r="BI54" i="224"/>
  <c r="BI55" i="224"/>
  <c r="BI56" i="224"/>
  <c r="BI57" i="224"/>
  <c r="BI58" i="224"/>
  <c r="BI59" i="224"/>
  <c r="BH44" i="224"/>
  <c r="BH45" i="224"/>
  <c r="BH46" i="224"/>
  <c r="BH47" i="224"/>
  <c r="BH48" i="224"/>
  <c r="BH49" i="224"/>
  <c r="BH50" i="224"/>
  <c r="BH51" i="224"/>
  <c r="BH52" i="224"/>
  <c r="BH53" i="224"/>
  <c r="BH54" i="224"/>
  <c r="BH55" i="224"/>
  <c r="BH56" i="224"/>
  <c r="BH57" i="224"/>
  <c r="BH58" i="224"/>
  <c r="BH59" i="224"/>
  <c r="BG44" i="224"/>
  <c r="BG45" i="224"/>
  <c r="BG46" i="224"/>
  <c r="BG47" i="224"/>
  <c r="BG48" i="224"/>
  <c r="BG49" i="224"/>
  <c r="BG50" i="224"/>
  <c r="BG51" i="224"/>
  <c r="BG52" i="224"/>
  <c r="BG53" i="224"/>
  <c r="BG54" i="224"/>
  <c r="BG55" i="224"/>
  <c r="BG56" i="224"/>
  <c r="BG57" i="224"/>
  <c r="BG58" i="224"/>
  <c r="BG59" i="224"/>
  <c r="BF44" i="224"/>
  <c r="BF45" i="224"/>
  <c r="BF46" i="224"/>
  <c r="BF47" i="224"/>
  <c r="BF48" i="224"/>
  <c r="BF49" i="224"/>
  <c r="BF50" i="224"/>
  <c r="BF51" i="224"/>
  <c r="BF52" i="224"/>
  <c r="BF53" i="224"/>
  <c r="BF54" i="224"/>
  <c r="BF55" i="224"/>
  <c r="BF56" i="224"/>
  <c r="BF57" i="224"/>
  <c r="BF58" i="224"/>
  <c r="BF59" i="224"/>
  <c r="BE44" i="224"/>
  <c r="BE45" i="224"/>
  <c r="BE46" i="224"/>
  <c r="BE47" i="224"/>
  <c r="BE48" i="224"/>
  <c r="BE49" i="224"/>
  <c r="BE50" i="224"/>
  <c r="BE51" i="224"/>
  <c r="BE52" i="224"/>
  <c r="BE53" i="224"/>
  <c r="BE54" i="224"/>
  <c r="BE55" i="224"/>
  <c r="BE56" i="224"/>
  <c r="BE57" i="224"/>
  <c r="BE58" i="224"/>
  <c r="BE59" i="224"/>
  <c r="BD44" i="224"/>
  <c r="BD45" i="224"/>
  <c r="BD46" i="224"/>
  <c r="BD47" i="224"/>
  <c r="BD48" i="224"/>
  <c r="BD49" i="224"/>
  <c r="BD50" i="224"/>
  <c r="BD51" i="224"/>
  <c r="BD52" i="224"/>
  <c r="BD53" i="224"/>
  <c r="BD54" i="224"/>
  <c r="BD55" i="224"/>
  <c r="BD56" i="224"/>
  <c r="BD57" i="224"/>
  <c r="BD58" i="224"/>
  <c r="BD59" i="224"/>
  <c r="BC44" i="224"/>
  <c r="BC45" i="224"/>
  <c r="BC46" i="224"/>
  <c r="BC47" i="224"/>
  <c r="BC48" i="224"/>
  <c r="BC49" i="224"/>
  <c r="BC50" i="224"/>
  <c r="BC51" i="224"/>
  <c r="BC52" i="224"/>
  <c r="BC53" i="224"/>
  <c r="BC54" i="224"/>
  <c r="BC55" i="224"/>
  <c r="BC56" i="224"/>
  <c r="BC57" i="224"/>
  <c r="BC58" i="224"/>
  <c r="BC59" i="224"/>
  <c r="BA44" i="224"/>
  <c r="D24" i="224" s="1"/>
  <c r="BA45" i="224"/>
  <c r="F25" i="224" s="1"/>
  <c r="BA46" i="224"/>
  <c r="H26" i="224" s="1"/>
  <c r="BA47" i="224"/>
  <c r="D27" i="224" s="1"/>
  <c r="BA48" i="224"/>
  <c r="D28" i="224" s="1"/>
  <c r="BA49" i="224"/>
  <c r="F29" i="224" s="1"/>
  <c r="BA50" i="224"/>
  <c r="H30" i="224" s="1"/>
  <c r="BA51" i="224"/>
  <c r="BA52" i="224"/>
  <c r="BA53" i="224"/>
  <c r="BA54" i="224"/>
  <c r="H34" i="224" s="1"/>
  <c r="BA55" i="224"/>
  <c r="D35" i="224" s="1"/>
  <c r="BA56" i="224"/>
  <c r="D36" i="224" s="1"/>
  <c r="BA57" i="224"/>
  <c r="F37" i="224" s="1"/>
  <c r="BA58" i="224"/>
  <c r="H38" i="224" s="1"/>
  <c r="BA59" i="224"/>
  <c r="D39" i="224" s="1"/>
  <c r="AZ44" i="224"/>
  <c r="AZ45" i="224"/>
  <c r="AZ46" i="224"/>
  <c r="AZ47" i="224"/>
  <c r="AZ48" i="224"/>
  <c r="AZ49" i="224"/>
  <c r="AZ50" i="224"/>
  <c r="AZ51" i="224"/>
  <c r="AZ52" i="224"/>
  <c r="AZ53" i="224"/>
  <c r="AZ54" i="224"/>
  <c r="AZ55" i="224"/>
  <c r="AZ56" i="224"/>
  <c r="AZ57" i="224"/>
  <c r="AZ58" i="224"/>
  <c r="AZ59" i="224"/>
  <c r="AY44" i="224"/>
  <c r="AY45" i="224"/>
  <c r="AY46" i="224"/>
  <c r="AY47" i="224"/>
  <c r="AY48" i="224"/>
  <c r="AY49" i="224"/>
  <c r="AY50" i="224"/>
  <c r="AY51" i="224"/>
  <c r="AY52" i="224"/>
  <c r="AY53" i="224"/>
  <c r="AY54" i="224"/>
  <c r="AY55" i="224"/>
  <c r="AY56" i="224"/>
  <c r="AY57" i="224"/>
  <c r="AY58" i="224"/>
  <c r="AY59" i="224"/>
  <c r="AX44" i="224"/>
  <c r="AX45" i="224"/>
  <c r="AX46" i="224"/>
  <c r="AX47" i="224"/>
  <c r="AX48" i="224"/>
  <c r="AX49" i="224"/>
  <c r="AX50" i="224"/>
  <c r="AX51" i="224"/>
  <c r="AX52" i="224"/>
  <c r="AX53" i="224"/>
  <c r="AX54" i="224"/>
  <c r="AX55" i="224"/>
  <c r="AX56" i="224"/>
  <c r="AX57" i="224"/>
  <c r="AX58" i="224"/>
  <c r="AX59" i="224"/>
  <c r="AW44" i="224"/>
  <c r="AW45" i="224"/>
  <c r="AW46" i="224"/>
  <c r="AW47" i="224"/>
  <c r="AW48" i="224"/>
  <c r="AW49" i="224"/>
  <c r="AW50" i="224"/>
  <c r="AW51" i="224"/>
  <c r="AW52" i="224"/>
  <c r="AW53" i="224"/>
  <c r="AW54" i="224"/>
  <c r="AW55" i="224"/>
  <c r="AW56" i="224"/>
  <c r="AW57" i="224"/>
  <c r="AW58" i="224"/>
  <c r="AW59" i="224"/>
  <c r="AV44" i="224"/>
  <c r="AV45" i="224"/>
  <c r="AV46" i="224"/>
  <c r="AV47" i="224"/>
  <c r="AV48" i="224"/>
  <c r="AV49" i="224"/>
  <c r="AV50" i="224"/>
  <c r="AV51" i="224"/>
  <c r="AV52" i="224"/>
  <c r="AV53" i="224"/>
  <c r="AV54" i="224"/>
  <c r="AV55" i="224"/>
  <c r="AV56" i="224"/>
  <c r="AV57" i="224"/>
  <c r="AV58" i="224"/>
  <c r="AV59" i="224"/>
  <c r="AU44" i="224"/>
  <c r="AU45" i="224"/>
  <c r="AU46" i="224"/>
  <c r="AU47" i="224"/>
  <c r="AU48" i="224"/>
  <c r="AU49" i="224"/>
  <c r="AU50" i="224"/>
  <c r="AU51" i="224"/>
  <c r="AU52" i="224"/>
  <c r="AU53" i="224"/>
  <c r="AU54" i="224"/>
  <c r="AU55" i="224"/>
  <c r="AU56" i="224"/>
  <c r="AU57" i="224"/>
  <c r="AU58" i="224"/>
  <c r="AU59" i="224"/>
  <c r="AT44" i="224"/>
  <c r="AT45" i="224"/>
  <c r="AT46" i="224"/>
  <c r="AT47" i="224"/>
  <c r="AT48" i="224"/>
  <c r="AT49" i="224"/>
  <c r="AT50" i="224"/>
  <c r="AT51" i="224"/>
  <c r="AT52" i="224"/>
  <c r="AT53" i="224"/>
  <c r="AT54" i="224"/>
  <c r="AT55" i="224"/>
  <c r="AT56" i="224"/>
  <c r="AT57" i="224"/>
  <c r="AT58" i="224"/>
  <c r="AT59" i="224"/>
  <c r="AS44" i="224"/>
  <c r="AS45" i="224"/>
  <c r="AS46" i="224"/>
  <c r="AS47" i="224"/>
  <c r="AS48" i="224"/>
  <c r="AS49" i="224"/>
  <c r="AS50" i="224"/>
  <c r="AS51" i="224"/>
  <c r="AS52" i="224"/>
  <c r="AS53" i="224"/>
  <c r="AS54" i="224"/>
  <c r="AS55" i="224"/>
  <c r="AS56" i="224"/>
  <c r="AS57" i="224"/>
  <c r="AS58" i="224"/>
  <c r="AS59" i="224"/>
  <c r="AQ44" i="224"/>
  <c r="AQ45" i="224"/>
  <c r="AQ46" i="224"/>
  <c r="AQ47" i="224"/>
  <c r="AQ48" i="224"/>
  <c r="AQ49" i="224"/>
  <c r="AQ50" i="224"/>
  <c r="AQ51" i="224"/>
  <c r="AQ52" i="224"/>
  <c r="AQ53" i="224"/>
  <c r="AQ54" i="224"/>
  <c r="AQ55" i="224"/>
  <c r="AQ56" i="224"/>
  <c r="AQ57" i="224"/>
  <c r="AQ58" i="224"/>
  <c r="AQ59" i="224"/>
  <c r="AP44" i="224"/>
  <c r="AP45" i="224"/>
  <c r="AP46" i="224"/>
  <c r="AP47" i="224"/>
  <c r="AP48" i="224"/>
  <c r="AP49" i="224"/>
  <c r="AP50" i="224"/>
  <c r="AP51" i="224"/>
  <c r="AP52" i="224"/>
  <c r="AP53" i="224"/>
  <c r="AP54" i="224"/>
  <c r="AP55" i="224"/>
  <c r="AP56" i="224"/>
  <c r="AP57" i="224"/>
  <c r="AP58" i="224"/>
  <c r="AP59" i="224"/>
  <c r="AO44" i="224"/>
  <c r="AO45" i="224"/>
  <c r="AO46" i="224"/>
  <c r="AO47" i="224"/>
  <c r="AO48" i="224"/>
  <c r="AO49" i="224"/>
  <c r="AO50" i="224"/>
  <c r="AO51" i="224"/>
  <c r="AO52" i="224"/>
  <c r="AO53" i="224"/>
  <c r="AO54" i="224"/>
  <c r="AO55" i="224"/>
  <c r="AO56" i="224"/>
  <c r="AO57" i="224"/>
  <c r="AO58" i="224"/>
  <c r="AO59" i="224"/>
  <c r="AN44" i="224"/>
  <c r="AN45" i="224"/>
  <c r="AN46" i="224"/>
  <c r="AN47" i="224"/>
  <c r="AN48" i="224"/>
  <c r="AN49" i="224"/>
  <c r="AN50" i="224"/>
  <c r="AN51" i="224"/>
  <c r="AN52" i="224"/>
  <c r="AN53" i="224"/>
  <c r="AN54" i="224"/>
  <c r="AN55" i="224"/>
  <c r="AN56" i="224"/>
  <c r="AN57" i="224"/>
  <c r="AN58" i="224"/>
  <c r="AN59" i="224"/>
  <c r="AM44" i="224"/>
  <c r="AM45" i="224"/>
  <c r="AM46" i="224"/>
  <c r="AM47" i="224"/>
  <c r="AM48" i="224"/>
  <c r="AM49" i="224"/>
  <c r="AM50" i="224"/>
  <c r="AM51" i="224"/>
  <c r="AM52" i="224"/>
  <c r="AM53" i="224"/>
  <c r="AM54" i="224"/>
  <c r="AM55" i="224"/>
  <c r="AM56" i="224"/>
  <c r="AM57" i="224"/>
  <c r="AM58" i="224"/>
  <c r="AM59" i="224"/>
  <c r="AL44" i="224"/>
  <c r="AL45" i="224"/>
  <c r="AL46" i="224"/>
  <c r="AL47" i="224"/>
  <c r="AL48" i="224"/>
  <c r="AL49" i="224"/>
  <c r="AL50" i="224"/>
  <c r="AL51" i="224"/>
  <c r="AL52" i="224"/>
  <c r="AL53" i="224"/>
  <c r="AL54" i="224"/>
  <c r="AL55" i="224"/>
  <c r="AL56" i="224"/>
  <c r="AL57" i="224"/>
  <c r="AL58" i="224"/>
  <c r="AL59" i="224"/>
  <c r="AK44" i="224"/>
  <c r="AK45" i="224"/>
  <c r="AK46" i="224"/>
  <c r="AK47" i="224"/>
  <c r="AK48" i="224"/>
  <c r="AK49" i="224"/>
  <c r="AK50" i="224"/>
  <c r="AK51" i="224"/>
  <c r="AK52" i="224"/>
  <c r="AK53" i="224"/>
  <c r="AK54" i="224"/>
  <c r="AK55" i="224"/>
  <c r="AK56" i="224"/>
  <c r="AK57" i="224"/>
  <c r="AK58" i="224"/>
  <c r="AK59" i="224"/>
  <c r="AJ44" i="224"/>
  <c r="AJ45" i="224"/>
  <c r="AJ46" i="224"/>
  <c r="AJ47" i="224"/>
  <c r="AJ48" i="224"/>
  <c r="AJ49" i="224"/>
  <c r="AJ50" i="224"/>
  <c r="AJ51" i="224"/>
  <c r="AJ52" i="224"/>
  <c r="AJ53" i="224"/>
  <c r="AJ54" i="224"/>
  <c r="AJ55" i="224"/>
  <c r="AJ56" i="224"/>
  <c r="AJ57" i="224"/>
  <c r="AJ58" i="224"/>
  <c r="AJ59" i="224"/>
  <c r="AI44" i="224"/>
  <c r="AI45" i="224"/>
  <c r="AI46" i="224"/>
  <c r="AI47" i="224"/>
  <c r="AI48" i="224"/>
  <c r="AI49" i="224"/>
  <c r="AI50" i="224"/>
  <c r="AI51" i="224"/>
  <c r="AI52" i="224"/>
  <c r="AI53" i="224"/>
  <c r="AI54" i="224"/>
  <c r="AI55" i="224"/>
  <c r="AI56" i="224"/>
  <c r="AI57" i="224"/>
  <c r="AI58" i="224"/>
  <c r="AI59" i="224"/>
  <c r="AG44" i="224"/>
  <c r="AG45" i="224"/>
  <c r="AG46" i="224"/>
  <c r="AG47" i="224"/>
  <c r="AG48" i="224"/>
  <c r="AG49" i="224"/>
  <c r="AG50" i="224"/>
  <c r="AG51" i="224"/>
  <c r="AG52" i="224"/>
  <c r="AG53" i="224"/>
  <c r="AG54" i="224"/>
  <c r="AG55" i="224"/>
  <c r="AG56" i="224"/>
  <c r="AG57" i="224"/>
  <c r="AG58" i="224"/>
  <c r="AG59" i="224"/>
  <c r="AF44" i="224"/>
  <c r="AF45" i="224"/>
  <c r="AF46" i="224"/>
  <c r="AF47" i="224"/>
  <c r="AF48" i="224"/>
  <c r="AF49" i="224"/>
  <c r="AF50" i="224"/>
  <c r="AF51" i="224"/>
  <c r="AF52" i="224"/>
  <c r="AF53" i="224"/>
  <c r="AF54" i="224"/>
  <c r="AF55" i="224"/>
  <c r="AF56" i="224"/>
  <c r="AF57" i="224"/>
  <c r="AF58" i="224"/>
  <c r="AF59" i="224"/>
  <c r="AE44" i="224"/>
  <c r="AE45" i="224"/>
  <c r="AE46" i="224"/>
  <c r="AE47" i="224"/>
  <c r="AE48" i="224"/>
  <c r="AE49" i="224"/>
  <c r="AE50" i="224"/>
  <c r="AE51" i="224"/>
  <c r="AE52" i="224"/>
  <c r="AE53" i="224"/>
  <c r="AE54" i="224"/>
  <c r="AE55" i="224"/>
  <c r="AE56" i="224"/>
  <c r="AE57" i="224"/>
  <c r="AE58" i="224"/>
  <c r="AE59" i="224"/>
  <c r="AD44" i="224"/>
  <c r="AD45" i="224"/>
  <c r="AD46" i="224"/>
  <c r="AD47" i="224"/>
  <c r="AD48" i="224"/>
  <c r="AD49" i="224"/>
  <c r="AD50" i="224"/>
  <c r="AD51" i="224"/>
  <c r="AD52" i="224"/>
  <c r="AD53" i="224"/>
  <c r="AD54" i="224"/>
  <c r="AD55" i="224"/>
  <c r="AD56" i="224"/>
  <c r="AD57" i="224"/>
  <c r="AD58" i="224"/>
  <c r="AD59" i="224"/>
  <c r="AC44" i="224"/>
  <c r="AC45" i="224"/>
  <c r="AC46" i="224"/>
  <c r="AC47" i="224"/>
  <c r="AC48" i="224"/>
  <c r="AC49" i="224"/>
  <c r="AC50" i="224"/>
  <c r="AC51" i="224"/>
  <c r="AC52" i="224"/>
  <c r="AC53" i="224"/>
  <c r="AC54" i="224"/>
  <c r="AC55" i="224"/>
  <c r="AC56" i="224"/>
  <c r="AC57" i="224"/>
  <c r="AC58" i="224"/>
  <c r="AC59" i="224"/>
  <c r="AB44" i="224"/>
  <c r="AB45" i="224"/>
  <c r="AB46" i="224"/>
  <c r="AB47" i="224"/>
  <c r="AB48" i="224"/>
  <c r="AB49" i="224"/>
  <c r="AB50" i="224"/>
  <c r="AB51" i="224"/>
  <c r="AB52" i="224"/>
  <c r="AB53" i="224"/>
  <c r="AB54" i="224"/>
  <c r="AB55" i="224"/>
  <c r="AB56" i="224"/>
  <c r="AB57" i="224"/>
  <c r="AB58" i="224"/>
  <c r="AB59" i="224"/>
  <c r="AA44" i="224"/>
  <c r="AA45" i="224"/>
  <c r="AA46" i="224"/>
  <c r="AA47" i="224"/>
  <c r="AA48" i="224"/>
  <c r="AA49" i="224"/>
  <c r="AA50" i="224"/>
  <c r="AA51" i="224"/>
  <c r="AA52" i="224"/>
  <c r="AA53" i="224"/>
  <c r="AA54" i="224"/>
  <c r="AA55" i="224"/>
  <c r="AA56" i="224"/>
  <c r="AA57" i="224"/>
  <c r="AA58" i="224"/>
  <c r="AA59" i="224"/>
  <c r="Z44" i="224"/>
  <c r="Z45" i="224"/>
  <c r="Z46" i="224"/>
  <c r="Z47" i="224"/>
  <c r="Z48" i="224"/>
  <c r="Z49" i="224"/>
  <c r="Z50" i="224"/>
  <c r="Z51" i="224"/>
  <c r="Z52" i="224"/>
  <c r="Z53" i="224"/>
  <c r="Z54" i="224"/>
  <c r="Z55" i="224"/>
  <c r="Z56" i="224"/>
  <c r="Z57" i="224"/>
  <c r="Z58" i="224"/>
  <c r="Z59" i="224"/>
  <c r="Y44" i="224"/>
  <c r="Y45" i="224"/>
  <c r="Y46" i="224"/>
  <c r="Y47" i="224"/>
  <c r="Y48" i="224"/>
  <c r="Y49" i="224"/>
  <c r="Y50" i="224"/>
  <c r="Y51" i="224"/>
  <c r="Y52" i="224"/>
  <c r="Y53" i="224"/>
  <c r="Y54" i="224"/>
  <c r="Y55" i="224"/>
  <c r="Y56" i="224"/>
  <c r="Y57" i="224"/>
  <c r="Y58" i="224"/>
  <c r="Y59" i="224"/>
  <c r="W44" i="224"/>
  <c r="W45" i="224"/>
  <c r="W46" i="224"/>
  <c r="W47" i="224"/>
  <c r="W48" i="224"/>
  <c r="W49" i="224"/>
  <c r="W50" i="224"/>
  <c r="W51" i="224"/>
  <c r="W52" i="224"/>
  <c r="W53" i="224"/>
  <c r="W54" i="224"/>
  <c r="W55" i="224"/>
  <c r="W56" i="224"/>
  <c r="W57" i="224"/>
  <c r="W58" i="224"/>
  <c r="W59" i="224"/>
  <c r="V44" i="224"/>
  <c r="V45" i="224"/>
  <c r="V46" i="224"/>
  <c r="V47" i="224"/>
  <c r="V48" i="224"/>
  <c r="V49" i="224"/>
  <c r="V50" i="224"/>
  <c r="V51" i="224"/>
  <c r="V52" i="224"/>
  <c r="V53" i="224"/>
  <c r="V54" i="224"/>
  <c r="V55" i="224"/>
  <c r="V56" i="224"/>
  <c r="V57" i="224"/>
  <c r="V58" i="224"/>
  <c r="V59" i="224"/>
  <c r="U44" i="224"/>
  <c r="U45" i="224"/>
  <c r="U46" i="224"/>
  <c r="U47" i="224"/>
  <c r="U48" i="224"/>
  <c r="U49" i="224"/>
  <c r="U50" i="224"/>
  <c r="U51" i="224"/>
  <c r="U52" i="224"/>
  <c r="U53" i="224"/>
  <c r="U54" i="224"/>
  <c r="U55" i="224"/>
  <c r="U56" i="224"/>
  <c r="U57" i="224"/>
  <c r="U58" i="224"/>
  <c r="U59" i="224"/>
  <c r="T44" i="224"/>
  <c r="T45" i="224"/>
  <c r="T46" i="224"/>
  <c r="T47" i="224"/>
  <c r="T48" i="224"/>
  <c r="T49" i="224"/>
  <c r="T50" i="224"/>
  <c r="T51" i="224"/>
  <c r="T52" i="224"/>
  <c r="T53" i="224"/>
  <c r="T54" i="224"/>
  <c r="T55" i="224"/>
  <c r="T56" i="224"/>
  <c r="T57" i="224"/>
  <c r="T58" i="224"/>
  <c r="T59" i="224"/>
  <c r="R44" i="224"/>
  <c r="R45" i="224"/>
  <c r="R46" i="224"/>
  <c r="R47" i="224"/>
  <c r="R48" i="224"/>
  <c r="R49" i="224"/>
  <c r="R50" i="224"/>
  <c r="R51" i="224"/>
  <c r="R52" i="224"/>
  <c r="R53" i="224"/>
  <c r="R54" i="224"/>
  <c r="R55" i="224"/>
  <c r="R56" i="224"/>
  <c r="R57" i="224"/>
  <c r="R58" i="224"/>
  <c r="R59" i="224"/>
  <c r="Q44" i="224"/>
  <c r="Q45" i="224"/>
  <c r="Q46" i="224"/>
  <c r="Q47" i="224"/>
  <c r="Q48" i="224"/>
  <c r="Q49" i="224"/>
  <c r="Q50" i="224"/>
  <c r="Q51" i="224"/>
  <c r="Q52" i="224"/>
  <c r="Q53" i="224"/>
  <c r="Q54" i="224"/>
  <c r="Q55" i="224"/>
  <c r="Q56" i="224"/>
  <c r="Q57" i="224"/>
  <c r="Q58" i="224"/>
  <c r="Q59" i="224"/>
  <c r="P44" i="224"/>
  <c r="P45" i="224"/>
  <c r="P46" i="224"/>
  <c r="P47" i="224"/>
  <c r="P48" i="224"/>
  <c r="P49" i="224"/>
  <c r="P50" i="224"/>
  <c r="P51" i="224"/>
  <c r="P52" i="224"/>
  <c r="P53" i="224"/>
  <c r="P54" i="224"/>
  <c r="P55" i="224"/>
  <c r="P56" i="224"/>
  <c r="P57" i="224"/>
  <c r="P58" i="224"/>
  <c r="P59" i="224"/>
  <c r="O44" i="224"/>
  <c r="O45" i="224"/>
  <c r="O46" i="224"/>
  <c r="O47" i="224"/>
  <c r="O48" i="224"/>
  <c r="O49" i="224"/>
  <c r="O50" i="224"/>
  <c r="O51" i="224"/>
  <c r="O52" i="224"/>
  <c r="O53" i="224"/>
  <c r="O54" i="224"/>
  <c r="O55" i="224"/>
  <c r="O56" i="224"/>
  <c r="O57" i="224"/>
  <c r="O58" i="224"/>
  <c r="O59" i="224"/>
  <c r="M44" i="224"/>
  <c r="M45" i="224"/>
  <c r="M46" i="224"/>
  <c r="M47" i="224"/>
  <c r="M48" i="224"/>
  <c r="M49" i="224"/>
  <c r="M50" i="224"/>
  <c r="M51" i="224"/>
  <c r="M52" i="224"/>
  <c r="M53" i="224"/>
  <c r="M54" i="224"/>
  <c r="M55" i="224"/>
  <c r="M56" i="224"/>
  <c r="M57" i="224"/>
  <c r="M58" i="224"/>
  <c r="M59" i="224"/>
  <c r="L44" i="224"/>
  <c r="L45" i="224"/>
  <c r="L46" i="224"/>
  <c r="L47" i="224"/>
  <c r="L48" i="224"/>
  <c r="L49" i="224"/>
  <c r="L50" i="224"/>
  <c r="L51" i="224"/>
  <c r="L52" i="224"/>
  <c r="L53" i="224"/>
  <c r="L54" i="224"/>
  <c r="L55" i="224"/>
  <c r="L56" i="224"/>
  <c r="L57" i="224"/>
  <c r="L58" i="224"/>
  <c r="L59" i="224"/>
  <c r="K44" i="224"/>
  <c r="K45" i="224"/>
  <c r="K46" i="224"/>
  <c r="K47" i="224"/>
  <c r="K48" i="224"/>
  <c r="K49" i="224"/>
  <c r="K50" i="224"/>
  <c r="K51" i="224"/>
  <c r="K52" i="224"/>
  <c r="K53" i="224"/>
  <c r="K54" i="224"/>
  <c r="K55" i="224"/>
  <c r="K56" i="224"/>
  <c r="K57" i="224"/>
  <c r="K58" i="224"/>
  <c r="K59" i="224"/>
  <c r="J44" i="224"/>
  <c r="J45" i="224"/>
  <c r="J46" i="224"/>
  <c r="J47" i="224"/>
  <c r="J48" i="224"/>
  <c r="J49" i="224"/>
  <c r="J50" i="224"/>
  <c r="J51" i="224"/>
  <c r="J52" i="224"/>
  <c r="J53" i="224"/>
  <c r="J54" i="224"/>
  <c r="J55" i="224"/>
  <c r="J56" i="224"/>
  <c r="J57" i="224"/>
  <c r="J58" i="224"/>
  <c r="J59" i="224"/>
  <c r="I44" i="224"/>
  <c r="I45" i="224"/>
  <c r="I46" i="224"/>
  <c r="I47" i="224"/>
  <c r="I48" i="224"/>
  <c r="I49" i="224"/>
  <c r="I50" i="224"/>
  <c r="I51" i="224"/>
  <c r="I52" i="224"/>
  <c r="I53" i="224"/>
  <c r="I54" i="224"/>
  <c r="I55" i="224"/>
  <c r="I56" i="224"/>
  <c r="I57" i="224"/>
  <c r="I58" i="224"/>
  <c r="I59" i="224"/>
  <c r="H44" i="224"/>
  <c r="H45" i="224"/>
  <c r="H46" i="224"/>
  <c r="H47" i="224"/>
  <c r="H48" i="224"/>
  <c r="H49" i="224"/>
  <c r="H50" i="224"/>
  <c r="H51" i="224"/>
  <c r="H52" i="224"/>
  <c r="H53" i="224"/>
  <c r="H54" i="224"/>
  <c r="H55" i="224"/>
  <c r="H56" i="224"/>
  <c r="H57" i="224"/>
  <c r="H58" i="224"/>
  <c r="H59" i="224"/>
  <c r="G44" i="224"/>
  <c r="G45" i="224"/>
  <c r="G46" i="224"/>
  <c r="G47" i="224"/>
  <c r="G48" i="224"/>
  <c r="G49" i="224"/>
  <c r="G50" i="224"/>
  <c r="G51" i="224"/>
  <c r="G52" i="224"/>
  <c r="G53" i="224"/>
  <c r="G54" i="224"/>
  <c r="G55" i="224"/>
  <c r="G56" i="224"/>
  <c r="G57" i="224"/>
  <c r="G58" i="224"/>
  <c r="G59" i="224"/>
  <c r="F44" i="224"/>
  <c r="F45" i="224"/>
  <c r="F46" i="224"/>
  <c r="F47" i="224"/>
  <c r="F48" i="224"/>
  <c r="F49" i="224"/>
  <c r="F50" i="224"/>
  <c r="F51" i="224"/>
  <c r="F52" i="224"/>
  <c r="F53" i="224"/>
  <c r="F54" i="224"/>
  <c r="F55" i="224"/>
  <c r="F56" i="224"/>
  <c r="F57" i="224"/>
  <c r="F58" i="224"/>
  <c r="F59" i="224"/>
  <c r="E44" i="224"/>
  <c r="E45" i="224"/>
  <c r="E46" i="224"/>
  <c r="E47" i="224"/>
  <c r="E48" i="224"/>
  <c r="E49" i="224"/>
  <c r="E50" i="224"/>
  <c r="E51" i="224"/>
  <c r="E52" i="224"/>
  <c r="E53" i="224"/>
  <c r="E54" i="224"/>
  <c r="E55" i="224"/>
  <c r="E56" i="224"/>
  <c r="E57" i="224"/>
  <c r="E58" i="224"/>
  <c r="E59" i="224"/>
  <c r="D31" i="224" l="1"/>
  <c r="D32" i="224"/>
  <c r="F33" i="224"/>
  <c r="K39" i="106"/>
  <c r="K27" i="106"/>
  <c r="G37" i="106"/>
  <c r="G25" i="106"/>
  <c r="E34" i="106"/>
  <c r="I30" i="106"/>
  <c r="G33" i="106"/>
  <c r="G29" i="106"/>
  <c r="K35" i="106"/>
  <c r="K31" i="106"/>
  <c r="H38" i="106"/>
  <c r="H26" i="106"/>
  <c r="G36" i="106"/>
  <c r="H32" i="106"/>
  <c r="H24" i="106"/>
  <c r="D25" i="106"/>
  <c r="G39" i="106"/>
  <c r="I38" i="106"/>
  <c r="G35" i="106"/>
  <c r="I34" i="106"/>
  <c r="G31" i="106"/>
  <c r="G27" i="106"/>
  <c r="I26" i="106"/>
  <c r="D25" i="224"/>
  <c r="G39" i="224"/>
  <c r="I38" i="224"/>
  <c r="G37" i="224"/>
  <c r="G35" i="224"/>
  <c r="I34" i="224"/>
  <c r="G33" i="224"/>
  <c r="G31" i="224"/>
  <c r="I30" i="224"/>
  <c r="G29" i="224"/>
  <c r="G27" i="224"/>
  <c r="I26" i="224"/>
  <c r="G25" i="224"/>
  <c r="H30" i="106"/>
  <c r="F37" i="106"/>
  <c r="F33" i="106"/>
  <c r="F29" i="106"/>
  <c r="F25" i="106"/>
  <c r="D26" i="106"/>
  <c r="H39" i="106"/>
  <c r="J38" i="106"/>
  <c r="K37" i="106"/>
  <c r="H35" i="106"/>
  <c r="J34" i="106"/>
  <c r="K33" i="106"/>
  <c r="H31" i="106"/>
  <c r="J30" i="106"/>
  <c r="K29" i="106"/>
  <c r="H27" i="106"/>
  <c r="J26" i="106"/>
  <c r="K25" i="106"/>
  <c r="D26" i="224"/>
  <c r="H39" i="224"/>
  <c r="J38" i="224"/>
  <c r="K37" i="224"/>
  <c r="H35" i="224"/>
  <c r="J34" i="224"/>
  <c r="K33" i="224"/>
  <c r="H31" i="224"/>
  <c r="J30" i="224"/>
  <c r="K29" i="224"/>
  <c r="H27" i="224"/>
  <c r="J26" i="224"/>
  <c r="K25" i="224"/>
  <c r="D33" i="106"/>
  <c r="M38" i="106"/>
  <c r="E38" i="106"/>
  <c r="M34" i="106"/>
  <c r="M30" i="106"/>
  <c r="E30" i="106"/>
  <c r="M26" i="106"/>
  <c r="E26" i="106"/>
  <c r="D33" i="224"/>
  <c r="K39" i="224"/>
  <c r="M38" i="224"/>
  <c r="E38" i="224"/>
  <c r="K35" i="224"/>
  <c r="M34" i="224"/>
  <c r="E34" i="224"/>
  <c r="K31" i="224"/>
  <c r="M30" i="224"/>
  <c r="E30" i="224"/>
  <c r="K27" i="224"/>
  <c r="M26" i="224"/>
  <c r="E26" i="224"/>
  <c r="H34" i="106"/>
  <c r="F39" i="106"/>
  <c r="F35" i="106"/>
  <c r="F31" i="106"/>
  <c r="F27" i="106"/>
  <c r="D34" i="106"/>
  <c r="L39" i="106"/>
  <c r="N38" i="106"/>
  <c r="F38" i="106"/>
  <c r="L35" i="106"/>
  <c r="N34" i="106"/>
  <c r="F34" i="106"/>
  <c r="L31" i="106"/>
  <c r="N30" i="106"/>
  <c r="F30" i="106"/>
  <c r="L27" i="106"/>
  <c r="N26" i="106"/>
  <c r="F26" i="106"/>
  <c r="D34" i="224"/>
  <c r="L39" i="224"/>
  <c r="N38" i="224"/>
  <c r="F38" i="224"/>
  <c r="L35" i="224"/>
  <c r="N34" i="224"/>
  <c r="F34" i="224"/>
  <c r="L31" i="224"/>
  <c r="N30" i="224"/>
  <c r="F30" i="224"/>
  <c r="L27" i="224"/>
  <c r="N26" i="224"/>
  <c r="F26" i="224"/>
  <c r="M36" i="224"/>
  <c r="I32" i="224"/>
  <c r="E32" i="224"/>
  <c r="I28" i="224"/>
  <c r="E28" i="224"/>
  <c r="M24" i="224"/>
  <c r="E24" i="224"/>
  <c r="H37" i="224"/>
  <c r="J36" i="224"/>
  <c r="L33" i="224"/>
  <c r="N32" i="224"/>
  <c r="F32" i="224"/>
  <c r="H29" i="224"/>
  <c r="J28" i="224"/>
  <c r="F28" i="224"/>
  <c r="H25" i="224"/>
  <c r="F24" i="224"/>
  <c r="D37" i="224"/>
  <c r="D29" i="224"/>
  <c r="M39" i="224"/>
  <c r="I39" i="224"/>
  <c r="E39" i="224"/>
  <c r="K38" i="224"/>
  <c r="G38" i="224"/>
  <c r="M37" i="224"/>
  <c r="I37" i="224"/>
  <c r="E37" i="224"/>
  <c r="K36" i="224"/>
  <c r="G36" i="224"/>
  <c r="M35" i="224"/>
  <c r="I35" i="224"/>
  <c r="E35" i="224"/>
  <c r="K34" i="224"/>
  <c r="G34" i="224"/>
  <c r="M33" i="224"/>
  <c r="I33" i="224"/>
  <c r="E33" i="224"/>
  <c r="K32" i="224"/>
  <c r="G32" i="224"/>
  <c r="M31" i="224"/>
  <c r="I31" i="224"/>
  <c r="E31" i="224"/>
  <c r="K30" i="224"/>
  <c r="G30" i="224"/>
  <c r="M29" i="224"/>
  <c r="I29" i="224"/>
  <c r="E29" i="224"/>
  <c r="K28" i="224"/>
  <c r="G28" i="224"/>
  <c r="M27" i="224"/>
  <c r="I27" i="224"/>
  <c r="E27" i="224"/>
  <c r="K26" i="224"/>
  <c r="G26" i="224"/>
  <c r="M25" i="224"/>
  <c r="I25" i="224"/>
  <c r="E25" i="224"/>
  <c r="K24" i="224"/>
  <c r="G24" i="224"/>
  <c r="I36" i="224"/>
  <c r="E36" i="224"/>
  <c r="M32" i="224"/>
  <c r="M28" i="224"/>
  <c r="I24" i="224"/>
  <c r="L37" i="224"/>
  <c r="N36" i="224"/>
  <c r="F36" i="224"/>
  <c r="H33" i="224"/>
  <c r="J32" i="224"/>
  <c r="L29" i="224"/>
  <c r="N28" i="224"/>
  <c r="L25" i="224"/>
  <c r="N24" i="224"/>
  <c r="J24" i="224"/>
  <c r="D38" i="224"/>
  <c r="D30" i="224"/>
  <c r="N39" i="224"/>
  <c r="J39" i="224"/>
  <c r="F39" i="224"/>
  <c r="L38" i="224"/>
  <c r="N37" i="224"/>
  <c r="J37" i="224"/>
  <c r="L36" i="224"/>
  <c r="H36" i="224"/>
  <c r="N35" i="224"/>
  <c r="J35" i="224"/>
  <c r="F35" i="224"/>
  <c r="L34" i="224"/>
  <c r="N33" i="224"/>
  <c r="J33" i="224"/>
  <c r="L32" i="224"/>
  <c r="H32" i="224"/>
  <c r="N31" i="224"/>
  <c r="J31" i="224"/>
  <c r="F31" i="224"/>
  <c r="L30" i="224"/>
  <c r="N29" i="224"/>
  <c r="J29" i="224"/>
  <c r="L28" i="224"/>
  <c r="H28" i="224"/>
  <c r="N27" i="224"/>
  <c r="J27" i="224"/>
  <c r="F27" i="224"/>
  <c r="L26" i="224"/>
  <c r="N25" i="224"/>
  <c r="J25" i="224"/>
  <c r="L24" i="224"/>
  <c r="H24" i="224"/>
  <c r="D28" i="106"/>
  <c r="M36" i="106"/>
  <c r="E36" i="106"/>
  <c r="M32" i="106"/>
  <c r="I28" i="106"/>
  <c r="M24" i="106"/>
  <c r="E24" i="106"/>
  <c r="L37" i="106"/>
  <c r="H37" i="106"/>
  <c r="N36" i="106"/>
  <c r="J36" i="106"/>
  <c r="F36" i="106"/>
  <c r="L33" i="106"/>
  <c r="H33" i="106"/>
  <c r="N32" i="106"/>
  <c r="J32" i="106"/>
  <c r="F32" i="106"/>
  <c r="L29" i="106"/>
  <c r="H29" i="106"/>
  <c r="N28" i="106"/>
  <c r="J28" i="106"/>
  <c r="F28" i="106"/>
  <c r="L25" i="106"/>
  <c r="H25" i="106"/>
  <c r="N24" i="106"/>
  <c r="J24" i="106"/>
  <c r="F24" i="106"/>
  <c r="D37" i="106"/>
  <c r="D29" i="106"/>
  <c r="M39" i="106"/>
  <c r="I39" i="106"/>
  <c r="E39" i="106"/>
  <c r="K38" i="106"/>
  <c r="G38" i="106"/>
  <c r="M37" i="106"/>
  <c r="I37" i="106"/>
  <c r="E37" i="106"/>
  <c r="K36" i="106"/>
  <c r="M35" i="106"/>
  <c r="I35" i="106"/>
  <c r="E35" i="106"/>
  <c r="K34" i="106"/>
  <c r="G34" i="106"/>
  <c r="M33" i="106"/>
  <c r="I33" i="106"/>
  <c r="E33" i="106"/>
  <c r="K32" i="106"/>
  <c r="G32" i="106"/>
  <c r="M31" i="106"/>
  <c r="I31" i="106"/>
  <c r="E31" i="106"/>
  <c r="K30" i="106"/>
  <c r="G30" i="106"/>
  <c r="M29" i="106"/>
  <c r="I29" i="106"/>
  <c r="E29" i="106"/>
  <c r="K28" i="106"/>
  <c r="G28" i="106"/>
  <c r="M27" i="106"/>
  <c r="I27" i="106"/>
  <c r="E27" i="106"/>
  <c r="K26" i="106"/>
  <c r="G26" i="106"/>
  <c r="M25" i="106"/>
  <c r="I25" i="106"/>
  <c r="E25" i="106"/>
  <c r="K24" i="106"/>
  <c r="G24" i="106"/>
  <c r="D36" i="106"/>
  <c r="I36" i="106"/>
  <c r="I32" i="106"/>
  <c r="E32" i="106"/>
  <c r="M28" i="106"/>
  <c r="E28" i="106"/>
  <c r="I24" i="106"/>
  <c r="D38" i="106"/>
  <c r="D30" i="106"/>
  <c r="N39" i="106"/>
  <c r="J39" i="106"/>
  <c r="L38" i="106"/>
  <c r="N37" i="106"/>
  <c r="J37" i="106"/>
  <c r="L36" i="106"/>
  <c r="H36" i="106"/>
  <c r="N35" i="106"/>
  <c r="J35" i="106"/>
  <c r="L34" i="106"/>
  <c r="N33" i="106"/>
  <c r="J33" i="106"/>
  <c r="L32" i="106"/>
  <c r="N31" i="106"/>
  <c r="J31" i="106"/>
  <c r="L30" i="106"/>
  <c r="N29" i="106"/>
  <c r="J29" i="106"/>
  <c r="L28" i="106"/>
  <c r="H28" i="106"/>
  <c r="N27" i="106"/>
  <c r="J27" i="106"/>
  <c r="L26" i="106"/>
  <c r="N25" i="106"/>
  <c r="J25" i="106"/>
  <c r="L24" i="106"/>
  <c r="D39" i="106"/>
  <c r="D35" i="106"/>
  <c r="D31" i="106"/>
  <c r="D27" i="106"/>
  <c r="D24" i="106"/>
  <c r="D32" i="106"/>
  <c r="C59" i="224"/>
  <c r="C58" i="224"/>
  <c r="C57" i="224"/>
  <c r="C56" i="224"/>
  <c r="C55" i="224"/>
  <c r="C54" i="224"/>
  <c r="C53" i="224"/>
  <c r="C52" i="224"/>
  <c r="C51" i="224"/>
  <c r="C50" i="224"/>
  <c r="C49" i="224"/>
  <c r="C48" i="224"/>
  <c r="C47" i="224"/>
  <c r="C46" i="224"/>
  <c r="C45" i="224"/>
  <c r="C44" i="224"/>
  <c r="C45" i="106"/>
  <c r="C46" i="106"/>
  <c r="C47" i="106"/>
  <c r="C48" i="106"/>
  <c r="C49" i="106"/>
  <c r="C50" i="106"/>
  <c r="C51" i="106"/>
  <c r="C52" i="106"/>
  <c r="C53" i="106"/>
  <c r="C54" i="106"/>
  <c r="C55" i="106"/>
  <c r="C56" i="106"/>
  <c r="C57" i="106"/>
  <c r="C58" i="106"/>
  <c r="C59" i="106"/>
  <c r="C44" i="106"/>
  <c r="P26" i="2"/>
  <c r="R20" i="2" l="1"/>
  <c r="J20" i="2"/>
  <c r="Q20" i="2"/>
  <c r="I20" i="2"/>
  <c r="P20" i="2"/>
  <c r="L20" i="2"/>
  <c r="H20" i="2"/>
  <c r="S20" i="2"/>
  <c r="O20" i="2"/>
  <c r="K20" i="2"/>
  <c r="G20" i="2"/>
  <c r="N20" i="2"/>
  <c r="M20" i="2"/>
  <c r="P22" i="2"/>
  <c r="E5" i="2" l="1"/>
  <c r="F6" i="2"/>
  <c r="E9" i="2"/>
  <c r="F10" i="2"/>
  <c r="E13" i="2"/>
  <c r="F14" i="2"/>
  <c r="E17" i="2"/>
  <c r="F18" i="2"/>
  <c r="F13" i="2"/>
  <c r="F17" i="2"/>
  <c r="F8" i="2"/>
  <c r="F12" i="2"/>
  <c r="E4" i="2"/>
  <c r="F5" i="2"/>
  <c r="E8" i="2"/>
  <c r="F9" i="2"/>
  <c r="E12" i="2"/>
  <c r="E7" i="2"/>
  <c r="E11" i="2"/>
  <c r="E15" i="2"/>
  <c r="E19" i="2"/>
  <c r="E6" i="2"/>
  <c r="F7" i="2"/>
  <c r="E10" i="2"/>
  <c r="F11" i="2"/>
  <c r="E14" i="2"/>
  <c r="F15" i="2"/>
  <c r="E18" i="2"/>
  <c r="F19" i="2"/>
  <c r="E16" i="2"/>
  <c r="F4" i="2"/>
  <c r="F16" i="2"/>
  <c r="S11" i="2"/>
  <c r="S17" i="2"/>
  <c r="S9" i="2"/>
  <c r="S14" i="2"/>
  <c r="S7" i="2"/>
  <c r="S8" i="2"/>
  <c r="S13" i="2"/>
  <c r="S18" i="2"/>
  <c r="S19" i="2"/>
  <c r="S5" i="2"/>
  <c r="S10" i="2"/>
  <c r="S4" i="2"/>
  <c r="S12" i="2"/>
  <c r="S15" i="2"/>
  <c r="S6" i="2"/>
  <c r="S16" i="2"/>
  <c r="I6" i="2"/>
  <c r="I12" i="2"/>
  <c r="I19" i="2"/>
  <c r="I8" i="2"/>
  <c r="I7" i="2"/>
  <c r="I16" i="2"/>
  <c r="I17" i="2"/>
  <c r="I4" i="2"/>
  <c r="I15" i="2"/>
  <c r="I14" i="2"/>
  <c r="I10" i="2"/>
  <c r="I13" i="2"/>
  <c r="I9" i="2"/>
  <c r="I5" i="2"/>
  <c r="I11" i="2"/>
  <c r="I18" i="2"/>
  <c r="G4" i="2"/>
  <c r="G18" i="2"/>
  <c r="G13" i="2"/>
  <c r="G17" i="2"/>
  <c r="G9" i="2"/>
  <c r="G14" i="2"/>
  <c r="G6" i="2"/>
  <c r="G5" i="2"/>
  <c r="G10" i="2"/>
  <c r="G8" i="2"/>
  <c r="G19" i="2"/>
  <c r="G15" i="2"/>
  <c r="G11" i="2"/>
  <c r="G7" i="2"/>
  <c r="G16" i="2"/>
  <c r="G12" i="2"/>
  <c r="H9" i="2"/>
  <c r="H5" i="2"/>
  <c r="H13" i="2"/>
  <c r="H17" i="2"/>
  <c r="H7" i="2"/>
  <c r="H8" i="2"/>
  <c r="H15" i="2"/>
  <c r="H11" i="2"/>
  <c r="H19" i="2"/>
  <c r="H12" i="2"/>
  <c r="H16" i="2"/>
  <c r="H4" i="2"/>
  <c r="H18" i="2"/>
  <c r="H14" i="2"/>
  <c r="H10" i="2"/>
  <c r="H6" i="2"/>
  <c r="Q6" i="2"/>
  <c r="Q17" i="2"/>
  <c r="Q13" i="2"/>
  <c r="Q9" i="2"/>
  <c r="Q5" i="2"/>
  <c r="Q7" i="2"/>
  <c r="Q18" i="2"/>
  <c r="Q15" i="2"/>
  <c r="Q14" i="2"/>
  <c r="Q12" i="2"/>
  <c r="Q19" i="2"/>
  <c r="Q16" i="2"/>
  <c r="Q8" i="2"/>
  <c r="Q11" i="2"/>
  <c r="Q4" i="2"/>
  <c r="Q10" i="2"/>
  <c r="K6" i="2"/>
  <c r="K13" i="2"/>
  <c r="K17" i="2"/>
  <c r="K9" i="2"/>
  <c r="K18" i="2"/>
  <c r="K5" i="2"/>
  <c r="K10" i="2"/>
  <c r="K4" i="2"/>
  <c r="K14" i="2"/>
  <c r="K12" i="2"/>
  <c r="K19" i="2"/>
  <c r="K15" i="2"/>
  <c r="K11" i="2"/>
  <c r="K7" i="2"/>
  <c r="K8" i="2"/>
  <c r="K16" i="2"/>
  <c r="L5" i="2"/>
  <c r="L11" i="2"/>
  <c r="L17" i="2"/>
  <c r="L9" i="2"/>
  <c r="L13" i="2"/>
  <c r="L19" i="2"/>
  <c r="L12" i="2"/>
  <c r="L16" i="2"/>
  <c r="L15" i="2"/>
  <c r="L14" i="2"/>
  <c r="L6" i="2"/>
  <c r="L4" i="2"/>
  <c r="L8" i="2"/>
  <c r="L7" i="2"/>
  <c r="L18" i="2"/>
  <c r="L10" i="2"/>
  <c r="J11" i="2"/>
  <c r="J17" i="2"/>
  <c r="J6" i="2"/>
  <c r="J15" i="2"/>
  <c r="J18" i="2"/>
  <c r="J7" i="2"/>
  <c r="J10" i="2"/>
  <c r="J5" i="2"/>
  <c r="J13" i="2"/>
  <c r="J19" i="2"/>
  <c r="J14" i="2"/>
  <c r="J9" i="2"/>
  <c r="J16" i="2"/>
  <c r="J4" i="2"/>
  <c r="J12" i="2"/>
  <c r="J8" i="2"/>
  <c r="N19" i="2"/>
  <c r="N6" i="2"/>
  <c r="N13" i="2"/>
  <c r="N15" i="2"/>
  <c r="N5" i="2"/>
  <c r="N7" i="2"/>
  <c r="N17" i="2"/>
  <c r="N18" i="2"/>
  <c r="N9" i="2"/>
  <c r="N10" i="2"/>
  <c r="N11" i="2"/>
  <c r="N14" i="2"/>
  <c r="N16" i="2"/>
  <c r="N12" i="2"/>
  <c r="N8" i="2"/>
  <c r="N4" i="2"/>
  <c r="M6" i="2"/>
  <c r="M8" i="2"/>
  <c r="M19" i="2"/>
  <c r="M10" i="2"/>
  <c r="M13" i="2"/>
  <c r="M9" i="2"/>
  <c r="M16" i="2"/>
  <c r="M15" i="2"/>
  <c r="M12" i="2"/>
  <c r="M7" i="2"/>
  <c r="M14" i="2"/>
  <c r="M17" i="2"/>
  <c r="M5" i="2"/>
  <c r="M18" i="2"/>
  <c r="M11" i="2"/>
  <c r="M4" i="2"/>
  <c r="O5" i="2"/>
  <c r="O9" i="2"/>
  <c r="O10" i="2"/>
  <c r="O14" i="2"/>
  <c r="O6" i="2"/>
  <c r="O13" i="2"/>
  <c r="O4" i="2"/>
  <c r="O17" i="2"/>
  <c r="O18" i="2"/>
  <c r="O12" i="2"/>
  <c r="O19" i="2"/>
  <c r="O11" i="2"/>
  <c r="O7" i="2"/>
  <c r="O8" i="2"/>
  <c r="O16" i="2"/>
  <c r="O15" i="2"/>
  <c r="P13" i="2"/>
  <c r="P5" i="2"/>
  <c r="P9" i="2"/>
  <c r="P7" i="2"/>
  <c r="P17" i="2"/>
  <c r="P12" i="2"/>
  <c r="P18" i="2"/>
  <c r="P10" i="2"/>
  <c r="P6" i="2"/>
  <c r="P4" i="2"/>
  <c r="P8" i="2"/>
  <c r="P15" i="2"/>
  <c r="P11" i="2"/>
  <c r="P19" i="2"/>
  <c r="P16" i="2"/>
  <c r="P14" i="2"/>
  <c r="R6" i="2"/>
  <c r="R13" i="2"/>
  <c r="R19" i="2"/>
  <c r="R10" i="2"/>
  <c r="R11" i="2"/>
  <c r="R17" i="2"/>
  <c r="R5" i="2"/>
  <c r="R9" i="2"/>
  <c r="R14" i="2"/>
  <c r="R15" i="2"/>
  <c r="R7" i="2"/>
  <c r="R18" i="2"/>
  <c r="R16" i="2"/>
  <c r="R12" i="2"/>
  <c r="R8" i="2"/>
  <c r="R4" i="2"/>
  <c r="P24" i="2" l="1"/>
</calcChain>
</file>

<file path=xl/sharedStrings.xml><?xml version="1.0" encoding="utf-8"?>
<sst xmlns="http://schemas.openxmlformats.org/spreadsheetml/2006/main" count="3521" uniqueCount="1283">
  <si>
    <t>marius.guscius@vwklubas.lt</t>
  </si>
  <si>
    <t>EDITABLE FIELDS!</t>
  </si>
  <si>
    <t>&lt;===</t>
  </si>
  <si>
    <t xml:space="preserve">MAX DESIRED BOOST: </t>
  </si>
  <si>
    <t xml:space="preserve">MAX CYLINDER CHARGE: </t>
  </si>
  <si>
    <t xml:space="preserve">AGGRESSIVENESS: </t>
  </si>
  <si>
    <t xml:space="preserve">MULTIPLIER: </t>
  </si>
  <si>
    <t xml:space="preserve">FACTOR </t>
  </si>
  <si>
    <t xml:space="preserve">AMPLIFIED MAX CHARGE: </t>
  </si>
  <si>
    <t>(0% - 135%)</t>
  </si>
  <si>
    <t>TABLE OF CONTENTS</t>
  </si>
  <si>
    <t xml:space="preserve">TURBO TYPE: </t>
  </si>
  <si>
    <t xml:space="preserve"> BAR</t>
  </si>
  <si>
    <t xml:space="preserve"> %</t>
  </si>
  <si>
    <t>FACTOR</t>
  </si>
  <si>
    <t>KFMIRL MAP</t>
  </si>
  <si>
    <t>RPM LOAD</t>
  </si>
  <si>
    <t xml:space="preserve">GENERATE LOW LOAD: </t>
  </si>
  <si>
    <t>KFMIRL MAP (INSERT WINOLS DATA HERE)</t>
  </si>
  <si>
    <t>KFMIOP MAP</t>
  </si>
  <si>
    <t>WEIGHT FACTORS (HIDDEN)</t>
  </si>
  <si>
    <t>WARNING!
FOR NON-COMMERCIAL USE ONLY!</t>
  </si>
  <si>
    <t>SETTINGS</t>
  </si>
  <si>
    <t xml:space="preserve">UPDATED ON: </t>
  </si>
  <si>
    <t xml:space="preserve">AUTHOR: </t>
  </si>
  <si>
    <t xml:space="preserve">REVISION: </t>
  </si>
  <si>
    <t xml:space="preserve">Author: Marius G. aka MasterJ </t>
  </si>
  <si>
    <t>LDRXN MAP</t>
  </si>
  <si>
    <t>RPM</t>
  </si>
  <si>
    <t>LOAD</t>
  </si>
  <si>
    <t>LDRXNZK MAP</t>
  </si>
  <si>
    <r>
      <rPr>
        <b/>
        <sz val="25"/>
        <color rgb="FFFF0000"/>
        <rFont val="Cambria"/>
        <family val="1"/>
        <charset val="186"/>
        <scheme val="major"/>
      </rPr>
      <t>LDRXN / LDRXNZK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CALCULATOR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v1.0</t>
    </r>
  </si>
  <si>
    <t>LDRXN/LDRXNZK WEIGHT TABLE (HIDDEN)</t>
  </si>
  <si>
    <t>LOAD RPM</t>
  </si>
  <si>
    <t>YES</t>
  </si>
  <si>
    <r>
      <rPr>
        <b/>
        <sz val="25"/>
        <color rgb="FFFF0000"/>
        <rFont val="Cambria"/>
        <family val="1"/>
        <charset val="186"/>
        <scheme val="major"/>
      </rPr>
      <t>KFMIOP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CALCULATOR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v1.8</t>
    </r>
  </si>
  <si>
    <r>
      <rPr>
        <b/>
        <sz val="25"/>
        <color rgb="FFFF0000"/>
        <rFont val="Cambria"/>
        <family val="1"/>
        <charset val="186"/>
        <scheme val="major"/>
      </rPr>
      <t>KFMIOP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CALCULATOR 2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v1.3</t>
    </r>
  </si>
  <si>
    <t>Cylinders:</t>
  </si>
  <si>
    <t>Fuel type:</t>
  </si>
  <si>
    <t xml:space="preserve">KRKTE: </t>
  </si>
  <si>
    <t>Injector constant @ 3bar:</t>
  </si>
  <si>
    <t xml:space="preserve">Engine displacement: </t>
  </si>
  <si>
    <t>Gas</t>
  </si>
  <si>
    <t>PART NUMBER #</t>
  </si>
  <si>
    <t>G/MIN @ 3BAR 
100% DC</t>
  </si>
  <si>
    <t>CC @ 3BAR 
100% DC</t>
  </si>
  <si>
    <t>0280150007</t>
  </si>
  <si>
    <t>0280150008</t>
  </si>
  <si>
    <t>0280150009</t>
  </si>
  <si>
    <t>0280150010</t>
  </si>
  <si>
    <t>0280150016</t>
  </si>
  <si>
    <t>0280150019</t>
  </si>
  <si>
    <t>0280150030</t>
  </si>
  <si>
    <t>0280150034</t>
  </si>
  <si>
    <t>0280150035</t>
  </si>
  <si>
    <t>0280150036</t>
  </si>
  <si>
    <t>0280150038</t>
  </si>
  <si>
    <t>0280150039</t>
  </si>
  <si>
    <t>0280150040</t>
  </si>
  <si>
    <t>0280150041</t>
  </si>
  <si>
    <t>0280150042</t>
  </si>
  <si>
    <t>0280150043</t>
  </si>
  <si>
    <t>0280150044</t>
  </si>
  <si>
    <t>0280150045</t>
  </si>
  <si>
    <t>0280150051</t>
  </si>
  <si>
    <t>0280150052</t>
  </si>
  <si>
    <t>0280150053</t>
  </si>
  <si>
    <t>0280150054</t>
  </si>
  <si>
    <t>0280150055</t>
  </si>
  <si>
    <t>0280150056</t>
  </si>
  <si>
    <t>0280150057</t>
  </si>
  <si>
    <t>0280150058</t>
  </si>
  <si>
    <t>0280150059</t>
  </si>
  <si>
    <t>0280150060</t>
  </si>
  <si>
    <t>0280150063</t>
  </si>
  <si>
    <t>0280150064</t>
  </si>
  <si>
    <t>0280150065</t>
  </si>
  <si>
    <t>0280150067</t>
  </si>
  <si>
    <t>0280150068</t>
  </si>
  <si>
    <t>0280150069</t>
  </si>
  <si>
    <t>0280150070</t>
  </si>
  <si>
    <t>0280150071</t>
  </si>
  <si>
    <t>0280150100</t>
  </si>
  <si>
    <t>0280150101</t>
  </si>
  <si>
    <t>0280150102</t>
  </si>
  <si>
    <t>0280150103</t>
  </si>
  <si>
    <t>0280150105</t>
  </si>
  <si>
    <t>0280150106</t>
  </si>
  <si>
    <t>0280150107</t>
  </si>
  <si>
    <t>0280150108</t>
  </si>
  <si>
    <t>0280150109</t>
  </si>
  <si>
    <t>0280150110</t>
  </si>
  <si>
    <t>0280150111</t>
  </si>
  <si>
    <t>0280150112</t>
  </si>
  <si>
    <t>0280150114</t>
  </si>
  <si>
    <t>0280150115</t>
  </si>
  <si>
    <t>0280150116</t>
  </si>
  <si>
    <t>0280150117</t>
  </si>
  <si>
    <t>0280150118</t>
  </si>
  <si>
    <t>0280150119</t>
  </si>
  <si>
    <t>0280150121</t>
  </si>
  <si>
    <t>0280150123</t>
  </si>
  <si>
    <t>0280150124</t>
  </si>
  <si>
    <t>0280150125</t>
  </si>
  <si>
    <t>0280150126</t>
  </si>
  <si>
    <t>0280150128</t>
  </si>
  <si>
    <t>0280150129</t>
  </si>
  <si>
    <t>0280150130</t>
  </si>
  <si>
    <t>0280150133</t>
  </si>
  <si>
    <t>0280150134</t>
  </si>
  <si>
    <t>0280150135</t>
  </si>
  <si>
    <t>0280150136</t>
  </si>
  <si>
    <t>0280150151</t>
  </si>
  <si>
    <t>0280150152</t>
  </si>
  <si>
    <t>0280150153</t>
  </si>
  <si>
    <t>0280150154</t>
  </si>
  <si>
    <t>0280150157</t>
  </si>
  <si>
    <t>0280150158</t>
  </si>
  <si>
    <t>0280150159</t>
  </si>
  <si>
    <t>0280150160</t>
  </si>
  <si>
    <t>0280150161</t>
  </si>
  <si>
    <t>0280150162</t>
  </si>
  <si>
    <t>0280150163</t>
  </si>
  <si>
    <t>0280150164</t>
  </si>
  <si>
    <t>0280150165</t>
  </si>
  <si>
    <t>0280150166</t>
  </si>
  <si>
    <t>0280150200</t>
  </si>
  <si>
    <t>0280150201</t>
  </si>
  <si>
    <t>0280150203</t>
  </si>
  <si>
    <t>0280150204</t>
  </si>
  <si>
    <t>0280150205</t>
  </si>
  <si>
    <t>0280150206</t>
  </si>
  <si>
    <t>0280150207</t>
  </si>
  <si>
    <t>0280150208</t>
  </si>
  <si>
    <t>0280150209</t>
  </si>
  <si>
    <t>0280150210</t>
  </si>
  <si>
    <t>0280150211</t>
  </si>
  <si>
    <t>0280150213</t>
  </si>
  <si>
    <t>0280150214</t>
  </si>
  <si>
    <t>0280150215</t>
  </si>
  <si>
    <t>0280150216</t>
  </si>
  <si>
    <t>0280150217</t>
  </si>
  <si>
    <t>0280150218</t>
  </si>
  <si>
    <t>0280150219</t>
  </si>
  <si>
    <t>0280150220</t>
  </si>
  <si>
    <t>0280150221</t>
  </si>
  <si>
    <t>0280150222</t>
  </si>
  <si>
    <t>0280150223</t>
  </si>
  <si>
    <t>0280150224</t>
  </si>
  <si>
    <t>0280150225</t>
  </si>
  <si>
    <t>0280150226</t>
  </si>
  <si>
    <t>0280150227</t>
  </si>
  <si>
    <t>0280150228</t>
  </si>
  <si>
    <t>0280150229</t>
  </si>
  <si>
    <t>0280150230</t>
  </si>
  <si>
    <t>0280150231</t>
  </si>
  <si>
    <t>0280150232</t>
  </si>
  <si>
    <t>0280150233</t>
  </si>
  <si>
    <t>0280150234</t>
  </si>
  <si>
    <t>0280150235</t>
  </si>
  <si>
    <t>0280150237</t>
  </si>
  <si>
    <t>0280150238</t>
  </si>
  <si>
    <t>0280150239</t>
  </si>
  <si>
    <t>0280150252</t>
  </si>
  <si>
    <t>0280150254</t>
  </si>
  <si>
    <t>0280150255</t>
  </si>
  <si>
    <t>0280150257</t>
  </si>
  <si>
    <t>0280150300</t>
  </si>
  <si>
    <t>0280150302</t>
  </si>
  <si>
    <t>0280150303</t>
  </si>
  <si>
    <t>0280150306</t>
  </si>
  <si>
    <t>0280150309</t>
  </si>
  <si>
    <t>0280150310</t>
  </si>
  <si>
    <t>0280150314</t>
  </si>
  <si>
    <t>0280150315</t>
  </si>
  <si>
    <t>0280150317</t>
  </si>
  <si>
    <t>0280150318</t>
  </si>
  <si>
    <t>0280150319</t>
  </si>
  <si>
    <t>0280150320</t>
  </si>
  <si>
    <t>0280150321</t>
  </si>
  <si>
    <t>0280150322</t>
  </si>
  <si>
    <t>0280150323</t>
  </si>
  <si>
    <t>0280150324</t>
  </si>
  <si>
    <t>0280150325</t>
  </si>
  <si>
    <t>0280150326</t>
  </si>
  <si>
    <t>0280150327</t>
  </si>
  <si>
    <t>0280150334</t>
  </si>
  <si>
    <t>0280150335</t>
  </si>
  <si>
    <t>0280150351</t>
  </si>
  <si>
    <t>0280150352</t>
  </si>
  <si>
    <t>0280150353</t>
  </si>
  <si>
    <t>0280150354</t>
  </si>
  <si>
    <t>0280150355</t>
  </si>
  <si>
    <t>0280150357</t>
  </si>
  <si>
    <t>0280150360</t>
  </si>
  <si>
    <t>0280150361</t>
  </si>
  <si>
    <t>0280150362</t>
  </si>
  <si>
    <t>0280150363</t>
  </si>
  <si>
    <t>0280150364</t>
  </si>
  <si>
    <t>0280150365</t>
  </si>
  <si>
    <t>0280150366</t>
  </si>
  <si>
    <t>0280150367</t>
  </si>
  <si>
    <t>0280150368</t>
  </si>
  <si>
    <t>0280150369</t>
  </si>
  <si>
    <t>0280150370</t>
  </si>
  <si>
    <t>0280150371</t>
  </si>
  <si>
    <t>0280150400</t>
  </si>
  <si>
    <t>0280150401</t>
  </si>
  <si>
    <t>0280150402</t>
  </si>
  <si>
    <t>0280150403</t>
  </si>
  <si>
    <t>0280150410</t>
  </si>
  <si>
    <t>0280150411</t>
  </si>
  <si>
    <t>0280150413</t>
  </si>
  <si>
    <t>0280150414</t>
  </si>
  <si>
    <t>0280150415</t>
  </si>
  <si>
    <t>0280150416</t>
  </si>
  <si>
    <t>0280150417</t>
  </si>
  <si>
    <t>0280150418</t>
  </si>
  <si>
    <t>0280150419</t>
  </si>
  <si>
    <t>0280150420</t>
  </si>
  <si>
    <t>0280150421</t>
  </si>
  <si>
    <t>0280150422</t>
  </si>
  <si>
    <t>0280150423</t>
  </si>
  <si>
    <t>0280150424</t>
  </si>
  <si>
    <t>0280150425</t>
  </si>
  <si>
    <t>0280150427</t>
  </si>
  <si>
    <t>0280150428</t>
  </si>
  <si>
    <t>0280150429</t>
  </si>
  <si>
    <t>0280150431</t>
  </si>
  <si>
    <t>0280150432</t>
  </si>
  <si>
    <t>0280150433</t>
  </si>
  <si>
    <t>0280150438</t>
  </si>
  <si>
    <t>0280150439</t>
  </si>
  <si>
    <t>0280150440</t>
  </si>
  <si>
    <t>0280150441</t>
  </si>
  <si>
    <t>0280150442</t>
  </si>
  <si>
    <t>0280150443</t>
  </si>
  <si>
    <t>0280150444</t>
  </si>
  <si>
    <t>0280150445</t>
  </si>
  <si>
    <t>0280150446</t>
  </si>
  <si>
    <t>0280150447</t>
  </si>
  <si>
    <t>0280150448</t>
  </si>
  <si>
    <t>0280150449</t>
  </si>
  <si>
    <t>0280150450</t>
  </si>
  <si>
    <t>0280150452</t>
  </si>
  <si>
    <t>0280150453</t>
  </si>
  <si>
    <t>0280150454</t>
  </si>
  <si>
    <t>0280150455</t>
  </si>
  <si>
    <t>0280150456</t>
  </si>
  <si>
    <t>0280150457</t>
  </si>
  <si>
    <t>0280150458</t>
  </si>
  <si>
    <t>0280150459</t>
  </si>
  <si>
    <t>0280150460</t>
  </si>
  <si>
    <t>0280150461</t>
  </si>
  <si>
    <t>0280150462</t>
  </si>
  <si>
    <t>0280150463</t>
  </si>
  <si>
    <t>0280150464</t>
  </si>
  <si>
    <t>0280150465</t>
  </si>
  <si>
    <t>0280150466</t>
  </si>
  <si>
    <t>0280150467</t>
  </si>
  <si>
    <t>0280150468</t>
  </si>
  <si>
    <t>0280150469</t>
  </si>
  <si>
    <t>0280150470</t>
  </si>
  <si>
    <t>0280150500</t>
  </si>
  <si>
    <t>0280150501</t>
  </si>
  <si>
    <t>0280150502</t>
  </si>
  <si>
    <t>0280150503</t>
  </si>
  <si>
    <t>0280150504</t>
  </si>
  <si>
    <t>0280150505</t>
  </si>
  <si>
    <t>0280150506</t>
  </si>
  <si>
    <t>0280150507</t>
  </si>
  <si>
    <t>0280150508</t>
  </si>
  <si>
    <t>0280150509</t>
  </si>
  <si>
    <t>0280150550</t>
  </si>
  <si>
    <t>0280150551</t>
  </si>
  <si>
    <t>0280150552</t>
  </si>
  <si>
    <t>0280150553</t>
  </si>
  <si>
    <t>0280150554</t>
  </si>
  <si>
    <t>0280150555</t>
  </si>
  <si>
    <t>0280150556</t>
  </si>
  <si>
    <t>0280150557</t>
  </si>
  <si>
    <t>0280150558</t>
  </si>
  <si>
    <t>0280150559</t>
  </si>
  <si>
    <t>0280150560</t>
  </si>
  <si>
    <t>0280150651</t>
  </si>
  <si>
    <t>0280150653</t>
  </si>
  <si>
    <t>0280150654</t>
  </si>
  <si>
    <t>0280150655</t>
  </si>
  <si>
    <t>0280150656</t>
  </si>
  <si>
    <t>0280150657</t>
  </si>
  <si>
    <t>0280150660</t>
  </si>
  <si>
    <t>0280150661</t>
  </si>
  <si>
    <t>0280150662</t>
  </si>
  <si>
    <t>0280150663</t>
  </si>
  <si>
    <t>0280150664</t>
  </si>
  <si>
    <t>0280150665</t>
  </si>
  <si>
    <t>0280150666</t>
  </si>
  <si>
    <t>0280150667</t>
  </si>
  <si>
    <t>0280150669</t>
  </si>
  <si>
    <t>0280150670</t>
  </si>
  <si>
    <t>0280150671</t>
  </si>
  <si>
    <t>0280150672</t>
  </si>
  <si>
    <t>0280150673</t>
  </si>
  <si>
    <t>0280150674</t>
  </si>
  <si>
    <t>0280150675</t>
  </si>
  <si>
    <t>0280150676</t>
  </si>
  <si>
    <t>0280150677</t>
  </si>
  <si>
    <t>0280150678</t>
  </si>
  <si>
    <t>0280150680</t>
  </si>
  <si>
    <t>0280150682</t>
  </si>
  <si>
    <t>0280150683</t>
  </si>
  <si>
    <t>0280150684</t>
  </si>
  <si>
    <t>0280150685</t>
  </si>
  <si>
    <t>0280150686</t>
  </si>
  <si>
    <t>0280150687</t>
  </si>
  <si>
    <t>0280150688</t>
  </si>
  <si>
    <t>0280150690</t>
  </si>
  <si>
    <t>0280150691</t>
  </si>
  <si>
    <t>0280150692</t>
  </si>
  <si>
    <t>0280150693</t>
  </si>
  <si>
    <t>0280150695</t>
  </si>
  <si>
    <t>0280150697</t>
  </si>
  <si>
    <t>0280150698</t>
  </si>
  <si>
    <t>0280150699</t>
  </si>
  <si>
    <t>0280150701</t>
  </si>
  <si>
    <t>0280150702</t>
  </si>
  <si>
    <t>0280150703</t>
  </si>
  <si>
    <t>0280150704</t>
  </si>
  <si>
    <t>0280150705</t>
  </si>
  <si>
    <t>0280150706</t>
  </si>
  <si>
    <t>0280150707</t>
  </si>
  <si>
    <t>0280150708</t>
  </si>
  <si>
    <t>0280150709</t>
  </si>
  <si>
    <t>0280150710</t>
  </si>
  <si>
    <t>0280150711</t>
  </si>
  <si>
    <t>0280150712</t>
  </si>
  <si>
    <t>0280150714</t>
  </si>
  <si>
    <t>0280150715</t>
  </si>
  <si>
    <t>0280150716</t>
  </si>
  <si>
    <t>0280150718</t>
  </si>
  <si>
    <t>0280150719</t>
  </si>
  <si>
    <t>0280150720</t>
  </si>
  <si>
    <t>0280150721</t>
  </si>
  <si>
    <t>0280150722</t>
  </si>
  <si>
    <t>0280150725</t>
  </si>
  <si>
    <t>0280150726</t>
  </si>
  <si>
    <t>0280150727</t>
  </si>
  <si>
    <t>0280150728</t>
  </si>
  <si>
    <t>0280150729</t>
  </si>
  <si>
    <t>0280150730</t>
  </si>
  <si>
    <t>0280150731</t>
  </si>
  <si>
    <t>0280150734</t>
  </si>
  <si>
    <t>0280150736</t>
  </si>
  <si>
    <t>0280150737</t>
  </si>
  <si>
    <t>0280150738</t>
  </si>
  <si>
    <t>0280150740</t>
  </si>
  <si>
    <t>0280150741</t>
  </si>
  <si>
    <t>0280150742</t>
  </si>
  <si>
    <t>0280150743</t>
  </si>
  <si>
    <t>0280150744</t>
  </si>
  <si>
    <t>0280150745</t>
  </si>
  <si>
    <t>0280150746</t>
  </si>
  <si>
    <t>0280150747</t>
  </si>
  <si>
    <t>0280150748</t>
  </si>
  <si>
    <t>0280150749</t>
  </si>
  <si>
    <t>0280150750</t>
  </si>
  <si>
    <t>0280150751</t>
  </si>
  <si>
    <t>0280150752</t>
  </si>
  <si>
    <t>0280150754</t>
  </si>
  <si>
    <t>0280150756</t>
  </si>
  <si>
    <t>0280150757</t>
  </si>
  <si>
    <t>0280150758</t>
  </si>
  <si>
    <t>0280150759</t>
  </si>
  <si>
    <t>0280150760</t>
  </si>
  <si>
    <t>0280150761</t>
  </si>
  <si>
    <t>0280150762</t>
  </si>
  <si>
    <t>0280150763</t>
  </si>
  <si>
    <t>0280150764</t>
  </si>
  <si>
    <t>0280150766</t>
  </si>
  <si>
    <t>0280150767</t>
  </si>
  <si>
    <t>0280150769</t>
  </si>
  <si>
    <t>0280150770</t>
  </si>
  <si>
    <t>0280150771</t>
  </si>
  <si>
    <t>0280150773</t>
  </si>
  <si>
    <t>0280150774</t>
  </si>
  <si>
    <t>0280150775</t>
  </si>
  <si>
    <t>0280150776</t>
  </si>
  <si>
    <t>0280150777</t>
  </si>
  <si>
    <t>0280150778</t>
  </si>
  <si>
    <t>0280150779</t>
  </si>
  <si>
    <t>0280150783</t>
  </si>
  <si>
    <t>0280150784</t>
  </si>
  <si>
    <t>0280150785</t>
  </si>
  <si>
    <t>0280150786</t>
  </si>
  <si>
    <t>0280150788</t>
  </si>
  <si>
    <t>0280150789</t>
  </si>
  <si>
    <t>0280150790</t>
  </si>
  <si>
    <t>0280150791</t>
  </si>
  <si>
    <t>0280150792</t>
  </si>
  <si>
    <t>0280150793</t>
  </si>
  <si>
    <t>0280150802</t>
  </si>
  <si>
    <t>0280150803</t>
  </si>
  <si>
    <t>0280150804</t>
  </si>
  <si>
    <t>0280150806</t>
  </si>
  <si>
    <t>0280150807</t>
  </si>
  <si>
    <t>0280150808</t>
  </si>
  <si>
    <t>0280150809</t>
  </si>
  <si>
    <t>0280150810</t>
  </si>
  <si>
    <t>0280150811</t>
  </si>
  <si>
    <t>0280150812</t>
  </si>
  <si>
    <t>0280150813</t>
  </si>
  <si>
    <t>0280150814</t>
  </si>
  <si>
    <t>0280150818</t>
  </si>
  <si>
    <t>0280150819</t>
  </si>
  <si>
    <t>0280150820</t>
  </si>
  <si>
    <t>0280150821</t>
  </si>
  <si>
    <t>0280150823</t>
  </si>
  <si>
    <t>0280150824</t>
  </si>
  <si>
    <t>0280150825</t>
  </si>
  <si>
    <t>0280150826</t>
  </si>
  <si>
    <t>0280150827</t>
  </si>
  <si>
    <t>0280150828</t>
  </si>
  <si>
    <t>0280150829</t>
  </si>
  <si>
    <t>0280150830</t>
  </si>
  <si>
    <t>0280150831</t>
  </si>
  <si>
    <t>0280150834</t>
  </si>
  <si>
    <t>0280150835</t>
  </si>
  <si>
    <t>0280150837</t>
  </si>
  <si>
    <t>0280150838</t>
  </si>
  <si>
    <t>0280150839</t>
  </si>
  <si>
    <t>0280150840</t>
  </si>
  <si>
    <t>0280150841</t>
  </si>
  <si>
    <t>0280150842</t>
  </si>
  <si>
    <t>0280150843</t>
  </si>
  <si>
    <t>0280150844</t>
  </si>
  <si>
    <t>0280150845</t>
  </si>
  <si>
    <t>0280150901</t>
  </si>
  <si>
    <t>0280150902</t>
  </si>
  <si>
    <t>0280150903</t>
  </si>
  <si>
    <t>0280150905</t>
  </si>
  <si>
    <t>0280150906</t>
  </si>
  <si>
    <t>0280150907</t>
  </si>
  <si>
    <t>0280150908</t>
  </si>
  <si>
    <t>0280150911</t>
  </si>
  <si>
    <t>0280150912</t>
  </si>
  <si>
    <t>0280150913</t>
  </si>
  <si>
    <t>0280150914</t>
  </si>
  <si>
    <t>0280150917</t>
  </si>
  <si>
    <t>0280150921</t>
  </si>
  <si>
    <t>0280150922</t>
  </si>
  <si>
    <t>0280150923</t>
  </si>
  <si>
    <t>0280150924</t>
  </si>
  <si>
    <t>0280150925</t>
  </si>
  <si>
    <t>0280150926</t>
  </si>
  <si>
    <t>0280150927</t>
  </si>
  <si>
    <t>0280150928</t>
  </si>
  <si>
    <t>0280150929</t>
  </si>
  <si>
    <t>0280150930</t>
  </si>
  <si>
    <t>0280150931</t>
  </si>
  <si>
    <t>0280150932</t>
  </si>
  <si>
    <t>0280150933</t>
  </si>
  <si>
    <t>0280150934</t>
  </si>
  <si>
    <t>0280150935</t>
  </si>
  <si>
    <t>0280150936</t>
  </si>
  <si>
    <t>0280150937</t>
  </si>
  <si>
    <t>0280150938</t>
  </si>
  <si>
    <t>0280150939</t>
  </si>
  <si>
    <t>0280150940</t>
  </si>
  <si>
    <t>0280150941</t>
  </si>
  <si>
    <t>0280150942</t>
  </si>
  <si>
    <t>0280150943</t>
  </si>
  <si>
    <t>0280150944</t>
  </si>
  <si>
    <t>0280150945</t>
  </si>
  <si>
    <t>0280150946</t>
  </si>
  <si>
    <t>0280150947</t>
  </si>
  <si>
    <t>0280150948</t>
  </si>
  <si>
    <t>0280150951</t>
  </si>
  <si>
    <t>0280150952</t>
  </si>
  <si>
    <t>0280150953</t>
  </si>
  <si>
    <t>0280150954</t>
  </si>
  <si>
    <t>0280150955</t>
  </si>
  <si>
    <t>0280150956</t>
  </si>
  <si>
    <t>0280150957</t>
  </si>
  <si>
    <t>0280150958</t>
  </si>
  <si>
    <t>0280150960</t>
  </si>
  <si>
    <t>0280150962</t>
  </si>
  <si>
    <t>0280150963</t>
  </si>
  <si>
    <t>0280150964</t>
  </si>
  <si>
    <t>0280150965</t>
  </si>
  <si>
    <t>0280150966</t>
  </si>
  <si>
    <t>0280150967</t>
  </si>
  <si>
    <t>0280150968</t>
  </si>
  <si>
    <t>0280150969</t>
  </si>
  <si>
    <t>0280150971</t>
  </si>
  <si>
    <t>0280150972</t>
  </si>
  <si>
    <t>0280150973</t>
  </si>
  <si>
    <t>0280150974</t>
  </si>
  <si>
    <t>0280150975</t>
  </si>
  <si>
    <t>0280150976</t>
  </si>
  <si>
    <t>0280150977</t>
  </si>
  <si>
    <t>0280150978</t>
  </si>
  <si>
    <t>0280150979</t>
  </si>
  <si>
    <t>0280150980</t>
  </si>
  <si>
    <t>0280150981</t>
  </si>
  <si>
    <t>0280150982</t>
  </si>
  <si>
    <t>0280150983</t>
  </si>
  <si>
    <t>0280150984</t>
  </si>
  <si>
    <t>0280150985</t>
  </si>
  <si>
    <t>0280150987</t>
  </si>
  <si>
    <t>0280150988</t>
  </si>
  <si>
    <t>0280150989</t>
  </si>
  <si>
    <t>0280150990</t>
  </si>
  <si>
    <t>0280150991</t>
  </si>
  <si>
    <t>0280150992</t>
  </si>
  <si>
    <t>0280150993</t>
  </si>
  <si>
    <t>0280150995</t>
  </si>
  <si>
    <t>0280150996</t>
  </si>
  <si>
    <t>0280150997</t>
  </si>
  <si>
    <t>0280150998</t>
  </si>
  <si>
    <t>0280150999</t>
  </si>
  <si>
    <t>0280155002</t>
  </si>
  <si>
    <t>0280155003</t>
  </si>
  <si>
    <t>0280155007</t>
  </si>
  <si>
    <t>0280155008</t>
  </si>
  <si>
    <t>0280155009</t>
  </si>
  <si>
    <t>0280155010</t>
  </si>
  <si>
    <t>0280155012</t>
  </si>
  <si>
    <t>0280155013</t>
  </si>
  <si>
    <t>0280155101</t>
  </si>
  <si>
    <t>0280155102</t>
  </si>
  <si>
    <t>0280155104</t>
  </si>
  <si>
    <t>0280155201</t>
  </si>
  <si>
    <t>0280155202</t>
  </si>
  <si>
    <t>0280155203</t>
  </si>
  <si>
    <t>0280155204</t>
  </si>
  <si>
    <t>0280155205</t>
  </si>
  <si>
    <t>0280155206</t>
  </si>
  <si>
    <t>0280155209</t>
  </si>
  <si>
    <t>0280155210</t>
  </si>
  <si>
    <t>0280155213</t>
  </si>
  <si>
    <t>0280155216</t>
  </si>
  <si>
    <t>0280155217</t>
  </si>
  <si>
    <t>0280155218</t>
  </si>
  <si>
    <t>0280155219</t>
  </si>
  <si>
    <t>0280155220</t>
  </si>
  <si>
    <t>0280155503</t>
  </si>
  <si>
    <t>0280155504</t>
  </si>
  <si>
    <t>0280155505</t>
  </si>
  <si>
    <t>0280155600</t>
  </si>
  <si>
    <t>0280155601</t>
  </si>
  <si>
    <t>0280155602</t>
  </si>
  <si>
    <t>0280155603</t>
  </si>
  <si>
    <t>0280155604</t>
  </si>
  <si>
    <t>0280155605</t>
  </si>
  <si>
    <t>0280155606</t>
  </si>
  <si>
    <t>0280155607</t>
  </si>
  <si>
    <t>0280155608</t>
  </si>
  <si>
    <t>0280155609</t>
  </si>
  <si>
    <t>0280155611</t>
  </si>
  <si>
    <t>0280155612</t>
  </si>
  <si>
    <t>0280155613</t>
  </si>
  <si>
    <t>0280155700</t>
  </si>
  <si>
    <t>0280155701</t>
  </si>
  <si>
    <t>0280155702</t>
  </si>
  <si>
    <t>0280155703</t>
  </si>
  <si>
    <t>0280155704</t>
  </si>
  <si>
    <t>0280155705</t>
  </si>
  <si>
    <t>0280155706</t>
  </si>
  <si>
    <t>0280155707</t>
  </si>
  <si>
    <t>0280155708</t>
  </si>
  <si>
    <t>0280155709</t>
  </si>
  <si>
    <t>0280155710</t>
  </si>
  <si>
    <t>0280155711</t>
  </si>
  <si>
    <t>0280155712</t>
  </si>
  <si>
    <t>0280155713</t>
  </si>
  <si>
    <t>0280155714</t>
  </si>
  <si>
    <t>0280155715</t>
  </si>
  <si>
    <t>0280155716</t>
  </si>
  <si>
    <t>0280155717</t>
  </si>
  <si>
    <t>0280155718</t>
  </si>
  <si>
    <t>0280155719</t>
  </si>
  <si>
    <t>0280155720</t>
  </si>
  <si>
    <t>0280155721</t>
  </si>
  <si>
    <t>0280155722</t>
  </si>
  <si>
    <t>0280155723</t>
  </si>
  <si>
    <t>0280155724</t>
  </si>
  <si>
    <t>0280155725</t>
  </si>
  <si>
    <t>0280155726</t>
  </si>
  <si>
    <t>0280155727</t>
  </si>
  <si>
    <t>0280155728</t>
  </si>
  <si>
    <t>0280155729</t>
  </si>
  <si>
    <t>0280155730</t>
  </si>
  <si>
    <t>0280155731</t>
  </si>
  <si>
    <t>0280155732</t>
  </si>
  <si>
    <t>0280155733</t>
  </si>
  <si>
    <t>0280155734</t>
  </si>
  <si>
    <t>0280155735</t>
  </si>
  <si>
    <t>0280155736</t>
  </si>
  <si>
    <t>0280155737</t>
  </si>
  <si>
    <t>0280155738</t>
  </si>
  <si>
    <t>0280155739</t>
  </si>
  <si>
    <t>0280155740</t>
  </si>
  <si>
    <t>0280155741</t>
  </si>
  <si>
    <t>0280155742</t>
  </si>
  <si>
    <t>0280155743</t>
  </si>
  <si>
    <t>0280155744</t>
  </si>
  <si>
    <t>0280155745</t>
  </si>
  <si>
    <t>0280155746</t>
  </si>
  <si>
    <t>0280155747</t>
  </si>
  <si>
    <t>0280155748</t>
  </si>
  <si>
    <t>0280155749</t>
  </si>
  <si>
    <t>0280155750</t>
  </si>
  <si>
    <t>0280155751</t>
  </si>
  <si>
    <t>0280155752</t>
  </si>
  <si>
    <t>0280155753</t>
  </si>
  <si>
    <t>0280155754</t>
  </si>
  <si>
    <t>0280155755</t>
  </si>
  <si>
    <t>0280155756</t>
  </si>
  <si>
    <t>0280155757</t>
  </si>
  <si>
    <t>0280155758</t>
  </si>
  <si>
    <t>0280155759</t>
  </si>
  <si>
    <t>0280155760</t>
  </si>
  <si>
    <t>0280155761</t>
  </si>
  <si>
    <t>0280155762</t>
  </si>
  <si>
    <t>0280155763</t>
  </si>
  <si>
    <t>0280155764</t>
  </si>
  <si>
    <t>0280155765</t>
  </si>
  <si>
    <t>0280155766</t>
  </si>
  <si>
    <t>0280155767</t>
  </si>
  <si>
    <t>0280155768</t>
  </si>
  <si>
    <t>0280155769</t>
  </si>
  <si>
    <t>0280155770</t>
  </si>
  <si>
    <t>0280155771</t>
  </si>
  <si>
    <t>0280155772</t>
  </si>
  <si>
    <t>0280155773</t>
  </si>
  <si>
    <t>0280155774</t>
  </si>
  <si>
    <t>0280155775</t>
  </si>
  <si>
    <t>0280155776</t>
  </si>
  <si>
    <t>0280155777</t>
  </si>
  <si>
    <t>0280155778</t>
  </si>
  <si>
    <t>0280155779</t>
  </si>
  <si>
    <t>0280155780</t>
  </si>
  <si>
    <t>0280155781</t>
  </si>
  <si>
    <t>0280155782</t>
  </si>
  <si>
    <t>0280155783</t>
  </si>
  <si>
    <t>0280155784</t>
  </si>
  <si>
    <t>0280155785</t>
  </si>
  <si>
    <t>0280155786</t>
  </si>
  <si>
    <t>0280155787</t>
  </si>
  <si>
    <t>0280155788</t>
  </si>
  <si>
    <t>0280155789</t>
  </si>
  <si>
    <t>0280155790</t>
  </si>
  <si>
    <t>0280155791</t>
  </si>
  <si>
    <t>0280155792</t>
  </si>
  <si>
    <t>0280155793</t>
  </si>
  <si>
    <t>0280155794</t>
  </si>
  <si>
    <t>0280155795</t>
  </si>
  <si>
    <t>0280155796</t>
  </si>
  <si>
    <t>0280155797</t>
  </si>
  <si>
    <t>0280155798</t>
  </si>
  <si>
    <t>0280155799</t>
  </si>
  <si>
    <t>0280155800</t>
  </si>
  <si>
    <t>0280155801</t>
  </si>
  <si>
    <t>0280155802</t>
  </si>
  <si>
    <t>0280155803</t>
  </si>
  <si>
    <t>0280155804</t>
  </si>
  <si>
    <t>0280155805</t>
  </si>
  <si>
    <t>0280155806</t>
  </si>
  <si>
    <t>0280155807</t>
  </si>
  <si>
    <t>0280155808</t>
  </si>
  <si>
    <t>0280155809</t>
  </si>
  <si>
    <t>0280155810</t>
  </si>
  <si>
    <t>0280155811</t>
  </si>
  <si>
    <t>0280155812</t>
  </si>
  <si>
    <t>0280155813</t>
  </si>
  <si>
    <t>0280155814</t>
  </si>
  <si>
    <t>0280155815</t>
  </si>
  <si>
    <t>0280155816</t>
  </si>
  <si>
    <t>0280155817</t>
  </si>
  <si>
    <t>0280155818</t>
  </si>
  <si>
    <t>0280155819</t>
  </si>
  <si>
    <t>0280155820</t>
  </si>
  <si>
    <t>0280155821</t>
  </si>
  <si>
    <t>0280155822</t>
  </si>
  <si>
    <t>0280155823</t>
  </si>
  <si>
    <t>0280155824</t>
  </si>
  <si>
    <t>0280155825</t>
  </si>
  <si>
    <t>0280155826</t>
  </si>
  <si>
    <t>0280155827</t>
  </si>
  <si>
    <t>0280155828</t>
  </si>
  <si>
    <t>0280155829</t>
  </si>
  <si>
    <t>0280155830</t>
  </si>
  <si>
    <t>0280155831</t>
  </si>
  <si>
    <t>0280155832</t>
  </si>
  <si>
    <t>0280155833</t>
  </si>
  <si>
    <t>0280155834</t>
  </si>
  <si>
    <t>0280155835</t>
  </si>
  <si>
    <t>0280155836</t>
  </si>
  <si>
    <t>0280155837</t>
  </si>
  <si>
    <t>0280155838</t>
  </si>
  <si>
    <t>0280155839</t>
  </si>
  <si>
    <t>0280155840</t>
  </si>
  <si>
    <t>0280155841</t>
  </si>
  <si>
    <t>0280155842</t>
  </si>
  <si>
    <t>0280155843</t>
  </si>
  <si>
    <t>0280155844</t>
  </si>
  <si>
    <t>0280155845</t>
  </si>
  <si>
    <t>0280155846</t>
  </si>
  <si>
    <t>0280155847</t>
  </si>
  <si>
    <t>0280155848</t>
  </si>
  <si>
    <t>0280155849</t>
  </si>
  <si>
    <t>0280155850</t>
  </si>
  <si>
    <t>0280155851</t>
  </si>
  <si>
    <t>0280155852</t>
  </si>
  <si>
    <t>0280155853</t>
  </si>
  <si>
    <t>0280155854</t>
  </si>
  <si>
    <t>0280155855</t>
  </si>
  <si>
    <t>0280155856</t>
  </si>
  <si>
    <t>0280155857</t>
  </si>
  <si>
    <t>0280155858</t>
  </si>
  <si>
    <t>0280155859</t>
  </si>
  <si>
    <t>0280155860</t>
  </si>
  <si>
    <t>0280155861</t>
  </si>
  <si>
    <t>0280155862</t>
  </si>
  <si>
    <t>0280155863</t>
  </si>
  <si>
    <t>0280155864</t>
  </si>
  <si>
    <t>0280155865</t>
  </si>
  <si>
    <t>0280155866</t>
  </si>
  <si>
    <t>0280155867</t>
  </si>
  <si>
    <t>0280155868</t>
  </si>
  <si>
    <t>0280155869</t>
  </si>
  <si>
    <t>0280155870</t>
  </si>
  <si>
    <t>0280155871</t>
  </si>
  <si>
    <t>0280155872</t>
  </si>
  <si>
    <t>0280155873</t>
  </si>
  <si>
    <t>0280155874</t>
  </si>
  <si>
    <t>0280155875</t>
  </si>
  <si>
    <t>0280155876</t>
  </si>
  <si>
    <t>0280155877</t>
  </si>
  <si>
    <t>0280155878</t>
  </si>
  <si>
    <t>0280155879</t>
  </si>
  <si>
    <t>0280155880</t>
  </si>
  <si>
    <t>0280155881</t>
  </si>
  <si>
    <t>0280155882</t>
  </si>
  <si>
    <t>0280155883</t>
  </si>
  <si>
    <t>0280155884</t>
  </si>
  <si>
    <t>0280155885</t>
  </si>
  <si>
    <t>0280155886</t>
  </si>
  <si>
    <t>0280155887</t>
  </si>
  <si>
    <t>0280155888</t>
  </si>
  <si>
    <t>0280155889</t>
  </si>
  <si>
    <t>0280155890</t>
  </si>
  <si>
    <t>0280155891</t>
  </si>
  <si>
    <t>0280155892</t>
  </si>
  <si>
    <t>0280155893</t>
  </si>
  <si>
    <t>0280155894</t>
  </si>
  <si>
    <t>0280155895</t>
  </si>
  <si>
    <t>0280155896</t>
  </si>
  <si>
    <t>0280155897</t>
  </si>
  <si>
    <t>0280155898</t>
  </si>
  <si>
    <t>0280155899</t>
  </si>
  <si>
    <t>0280155900</t>
  </si>
  <si>
    <t>0280155901</t>
  </si>
  <si>
    <t>0280155902</t>
  </si>
  <si>
    <t>0280155903</t>
  </si>
  <si>
    <t>0280155904</t>
  </si>
  <si>
    <t>0280155905</t>
  </si>
  <si>
    <t>0280155906</t>
  </si>
  <si>
    <t>0280155907</t>
  </si>
  <si>
    <t>0280155908</t>
  </si>
  <si>
    <t>0280155909</t>
  </si>
  <si>
    <t>0280155910</t>
  </si>
  <si>
    <t>0280155911</t>
  </si>
  <si>
    <t>0280155912</t>
  </si>
  <si>
    <t>0280155913</t>
  </si>
  <si>
    <t>0280155914</t>
  </si>
  <si>
    <t>0280155915</t>
  </si>
  <si>
    <t>0280155916</t>
  </si>
  <si>
    <t>0280155917</t>
  </si>
  <si>
    <t>0280155918</t>
  </si>
  <si>
    <t>0280155919</t>
  </si>
  <si>
    <t>0280155920</t>
  </si>
  <si>
    <t>0280155921</t>
  </si>
  <si>
    <t>0280155922</t>
  </si>
  <si>
    <t>0280155923</t>
  </si>
  <si>
    <t>0280155924</t>
  </si>
  <si>
    <t>0280155925</t>
  </si>
  <si>
    <t>0280155926</t>
  </si>
  <si>
    <t>0280155927</t>
  </si>
  <si>
    <t>0280155928</t>
  </si>
  <si>
    <t>0280155929</t>
  </si>
  <si>
    <t>0280155930</t>
  </si>
  <si>
    <t>0280155931</t>
  </si>
  <si>
    <t>0280155932</t>
  </si>
  <si>
    <t>0280155933</t>
  </si>
  <si>
    <t>0280155934</t>
  </si>
  <si>
    <t>0280155935</t>
  </si>
  <si>
    <t>0280155936</t>
  </si>
  <si>
    <t>0280155937</t>
  </si>
  <si>
    <t>0280155938</t>
  </si>
  <si>
    <t>0280155939</t>
  </si>
  <si>
    <t>0280155940</t>
  </si>
  <si>
    <t>0280155941</t>
  </si>
  <si>
    <t>0280155942</t>
  </si>
  <si>
    <t>0280155943</t>
  </si>
  <si>
    <t>0280155944</t>
  </si>
  <si>
    <t>0280155945</t>
  </si>
  <si>
    <t>0280155946</t>
  </si>
  <si>
    <t>0280155947</t>
  </si>
  <si>
    <t>0280155948</t>
  </si>
  <si>
    <t>0280155949</t>
  </si>
  <si>
    <t>0280155950</t>
  </si>
  <si>
    <t>0280155951</t>
  </si>
  <si>
    <t>0280155952</t>
  </si>
  <si>
    <t>0280155953</t>
  </si>
  <si>
    <t>0280155954</t>
  </si>
  <si>
    <t>0280155955</t>
  </si>
  <si>
    <t>0280155956</t>
  </si>
  <si>
    <t>0280155957</t>
  </si>
  <si>
    <t>0280155958</t>
  </si>
  <si>
    <t>0280155959</t>
  </si>
  <si>
    <t>0280155960</t>
  </si>
  <si>
    <t>0280155961</t>
  </si>
  <si>
    <t>0280155962</t>
  </si>
  <si>
    <t>0280155963</t>
  </si>
  <si>
    <t>0280155964</t>
  </si>
  <si>
    <t>0280155965</t>
  </si>
  <si>
    <t>0280155966</t>
  </si>
  <si>
    <t>0280155967</t>
  </si>
  <si>
    <t>0280155968</t>
  </si>
  <si>
    <t>0280155969</t>
  </si>
  <si>
    <t>0280155970</t>
  </si>
  <si>
    <t>0280155971</t>
  </si>
  <si>
    <t>0280155972</t>
  </si>
  <si>
    <t>0280155973</t>
  </si>
  <si>
    <t>0280155974</t>
  </si>
  <si>
    <t>0280155975</t>
  </si>
  <si>
    <t>0280155976</t>
  </si>
  <si>
    <t>0280155977</t>
  </si>
  <si>
    <t>0280155978</t>
  </si>
  <si>
    <t>0280155979</t>
  </si>
  <si>
    <t>0280155980</t>
  </si>
  <si>
    <t>0280155981</t>
  </si>
  <si>
    <t>0280155982</t>
  </si>
  <si>
    <t>0280155983</t>
  </si>
  <si>
    <t>0280155984</t>
  </si>
  <si>
    <t>0280155985</t>
  </si>
  <si>
    <t>0280155986</t>
  </si>
  <si>
    <t>0280155987</t>
  </si>
  <si>
    <t>0280155988</t>
  </si>
  <si>
    <t>0280155989</t>
  </si>
  <si>
    <t>0280155990</t>
  </si>
  <si>
    <t>0280155991</t>
  </si>
  <si>
    <t>0280155992</t>
  </si>
  <si>
    <t>0280155993</t>
  </si>
  <si>
    <t>0280155994</t>
  </si>
  <si>
    <t>0280155995</t>
  </si>
  <si>
    <t>0280155996</t>
  </si>
  <si>
    <t>0280155997</t>
  </si>
  <si>
    <t>0280155998</t>
  </si>
  <si>
    <t>0280155999</t>
  </si>
  <si>
    <t>0280156001</t>
  </si>
  <si>
    <t>0280156002</t>
  </si>
  <si>
    <t>0280156003</t>
  </si>
  <si>
    <t>0280156004</t>
  </si>
  <si>
    <t>0280156005</t>
  </si>
  <si>
    <t>0280156006</t>
  </si>
  <si>
    <t>0280156007</t>
  </si>
  <si>
    <t>0280156008</t>
  </si>
  <si>
    <t>0280156009</t>
  </si>
  <si>
    <t>0280156010</t>
  </si>
  <si>
    <t>0280156011</t>
  </si>
  <si>
    <t>0280156012</t>
  </si>
  <si>
    <t>0280156013</t>
  </si>
  <si>
    <t>0280156014</t>
  </si>
  <si>
    <t>0280156015</t>
  </si>
  <si>
    <t>0280156016</t>
  </si>
  <si>
    <t>0280156017</t>
  </si>
  <si>
    <t>0280156018</t>
  </si>
  <si>
    <t>0280156019</t>
  </si>
  <si>
    <t>0280156020</t>
  </si>
  <si>
    <t>0280156021</t>
  </si>
  <si>
    <t>0280156022</t>
  </si>
  <si>
    <t>0280156023</t>
  </si>
  <si>
    <t>0280156024</t>
  </si>
  <si>
    <t>0280156025</t>
  </si>
  <si>
    <t>0280156026</t>
  </si>
  <si>
    <t>0280156027</t>
  </si>
  <si>
    <t>0280156028</t>
  </si>
  <si>
    <t>0280156029</t>
  </si>
  <si>
    <t>0280156030</t>
  </si>
  <si>
    <t>0280156031</t>
  </si>
  <si>
    <t>0280156032</t>
  </si>
  <si>
    <t>0280156033</t>
  </si>
  <si>
    <t>0280156034</t>
  </si>
  <si>
    <t>0280156036</t>
  </si>
  <si>
    <t>0280156037</t>
  </si>
  <si>
    <t>0280156038</t>
  </si>
  <si>
    <t>0280156039</t>
  </si>
  <si>
    <t>0280156040</t>
  </si>
  <si>
    <t>0280156041</t>
  </si>
  <si>
    <t>0280156042</t>
  </si>
  <si>
    <t>0280156043</t>
  </si>
  <si>
    <t>0280156044</t>
  </si>
  <si>
    <t>0280156045</t>
  </si>
  <si>
    <t>0280156046</t>
  </si>
  <si>
    <t>0280156047</t>
  </si>
  <si>
    <t>0280156048</t>
  </si>
  <si>
    <t>0280156049</t>
  </si>
  <si>
    <t>0280156050</t>
  </si>
  <si>
    <t>0280156051</t>
  </si>
  <si>
    <t>0280156052</t>
  </si>
  <si>
    <t>0280156053</t>
  </si>
  <si>
    <t>0280156054</t>
  </si>
  <si>
    <t>0280156055</t>
  </si>
  <si>
    <t>0280156056</t>
  </si>
  <si>
    <t>0280156057</t>
  </si>
  <si>
    <t>0280156058</t>
  </si>
  <si>
    <t>0280156059</t>
  </si>
  <si>
    <t>0280156060</t>
  </si>
  <si>
    <t>0280156061</t>
  </si>
  <si>
    <t>0280156062</t>
  </si>
  <si>
    <t>0280156063</t>
  </si>
  <si>
    <t>0280156064</t>
  </si>
  <si>
    <t>0280156065</t>
  </si>
  <si>
    <t>0280156066</t>
  </si>
  <si>
    <t>0280156067</t>
  </si>
  <si>
    <t>0280156068</t>
  </si>
  <si>
    <t>0280156069</t>
  </si>
  <si>
    <t>0280156070</t>
  </si>
  <si>
    <t>0280156071</t>
  </si>
  <si>
    <t>0280156072</t>
  </si>
  <si>
    <t>0280156073</t>
  </si>
  <si>
    <t>0280156074</t>
  </si>
  <si>
    <t>0280156075</t>
  </si>
  <si>
    <t>0280156076</t>
  </si>
  <si>
    <t>0280156077</t>
  </si>
  <si>
    <t>0280156078</t>
  </si>
  <si>
    <t>0280156079</t>
  </si>
  <si>
    <t>0280156080</t>
  </si>
  <si>
    <t>0280156081</t>
  </si>
  <si>
    <t>0280156082</t>
  </si>
  <si>
    <t>0280156083</t>
  </si>
  <si>
    <t>0280156084</t>
  </si>
  <si>
    <t>0280156085</t>
  </si>
  <si>
    <t>0280156090</t>
  </si>
  <si>
    <t>0280156091</t>
  </si>
  <si>
    <t>0280156093</t>
  </si>
  <si>
    <t>0280156094</t>
  </si>
  <si>
    <t>0280156095</t>
  </si>
  <si>
    <t>0280156096</t>
  </si>
  <si>
    <t>0280156097</t>
  </si>
  <si>
    <t>0280156098</t>
  </si>
  <si>
    <t>0280156101</t>
  </si>
  <si>
    <t>0280156102</t>
  </si>
  <si>
    <t>0280156103</t>
  </si>
  <si>
    <t>0280156104</t>
  </si>
  <si>
    <t>0280156105</t>
  </si>
  <si>
    <t>0280156106</t>
  </si>
  <si>
    <t>0280156107</t>
  </si>
  <si>
    <t>0280156108</t>
  </si>
  <si>
    <t>0280157001</t>
  </si>
  <si>
    <t>0280157002</t>
  </si>
  <si>
    <t>0280157003</t>
  </si>
  <si>
    <t>0280157004</t>
  </si>
  <si>
    <t>0280157005</t>
  </si>
  <si>
    <t>0280157006</t>
  </si>
  <si>
    <t>0280157007</t>
  </si>
  <si>
    <t>0280157008</t>
  </si>
  <si>
    <t>0280157009</t>
  </si>
  <si>
    <t>0280159709</t>
  </si>
  <si>
    <t>0280159712</t>
  </si>
  <si>
    <t>0280159724</t>
  </si>
  <si>
    <t>0280159731</t>
  </si>
  <si>
    <t>0280159732</t>
  </si>
  <si>
    <t>0280159798</t>
  </si>
  <si>
    <t>0280159799</t>
  </si>
  <si>
    <t/>
  </si>
  <si>
    <t>IMPEDANCE
Ω</t>
  </si>
  <si>
    <t>1.1</t>
  </si>
  <si>
    <t>10</t>
  </si>
  <si>
    <t>1.1T</t>
  </si>
  <si>
    <t>1.2</t>
  </si>
  <si>
    <t>1.3</t>
  </si>
  <si>
    <t>1.3L</t>
  </si>
  <si>
    <t>4</t>
  </si>
  <si>
    <t>8</t>
  </si>
  <si>
    <t>6.1l</t>
  </si>
  <si>
    <t>6.1s</t>
  </si>
  <si>
    <t>6.x</t>
  </si>
  <si>
    <t>6.2l</t>
  </si>
  <si>
    <t>6.2s</t>
  </si>
  <si>
    <t>6.2m</t>
  </si>
  <si>
    <t>12m</t>
  </si>
  <si>
    <t>6.?s</t>
  </si>
  <si>
    <t>6.xl</t>
  </si>
  <si>
    <t>6.xs</t>
  </si>
  <si>
    <t>12l</t>
  </si>
  <si>
    <t>INJECTOR TYPE (EVxx)</t>
  </si>
  <si>
    <t>Fuel Pressure Regulator:</t>
  </si>
  <si>
    <t xml:space="preserve"> bar</t>
  </si>
  <si>
    <t xml:space="preserve"> cm³</t>
  </si>
  <si>
    <t xml:space="preserve"> cc</t>
  </si>
  <si>
    <t>CONVERTED KFZWOP/2 MAP</t>
  </si>
  <si>
    <t>KFZWOP/2 MAP (INSERT WINOLS DATA HERE)</t>
  </si>
  <si>
    <t xml:space="preserve">SMOOTH MAP: </t>
  </si>
  <si>
    <t>ENABLE</t>
  </si>
  <si>
    <t xml:space="preserve">LOAD CVS FILE: </t>
  </si>
  <si>
    <t>MS RPM</t>
  </si>
  <si>
    <t>LOADED FILE PATH</t>
  </si>
  <si>
    <t>MS</t>
  </si>
  <si>
    <t xml:space="preserve">RPM IMPERFECTION: </t>
  </si>
  <si>
    <t xml:space="preserve">INJECTOR IMPERFECTION: </t>
  </si>
  <si>
    <t>1) EEPROM MODDER</t>
  </si>
  <si>
    <t>000</t>
  </si>
  <si>
    <t>010</t>
  </si>
  <si>
    <t>020</t>
  </si>
  <si>
    <t>030</t>
  </si>
  <si>
    <t>040</t>
  </si>
  <si>
    <t>050</t>
  </si>
  <si>
    <t>060</t>
  </si>
  <si>
    <t>070</t>
  </si>
  <si>
    <t>080</t>
  </si>
  <si>
    <t>090</t>
  </si>
  <si>
    <t>0A0</t>
  </si>
  <si>
    <t>0B0</t>
  </si>
  <si>
    <t>0C0</t>
  </si>
  <si>
    <t>0D0</t>
  </si>
  <si>
    <t>0E0</t>
  </si>
  <si>
    <t>0F0</t>
  </si>
  <si>
    <t>100</t>
  </si>
  <si>
    <t>110</t>
  </si>
  <si>
    <t>120</t>
  </si>
  <si>
    <t>130</t>
  </si>
  <si>
    <t>140</t>
  </si>
  <si>
    <t>150</t>
  </si>
  <si>
    <t>160</t>
  </si>
  <si>
    <t>170</t>
  </si>
  <si>
    <t>180</t>
  </si>
  <si>
    <t>190</t>
  </si>
  <si>
    <t>1A0</t>
  </si>
  <si>
    <t>1B0</t>
  </si>
  <si>
    <t>1C0</t>
  </si>
  <si>
    <t>1D0</t>
  </si>
  <si>
    <t>1E0</t>
  </si>
  <si>
    <t>1F0</t>
  </si>
  <si>
    <t>ORIGINAL EEPROM</t>
  </si>
  <si>
    <t>MODIFIED EEPROM</t>
  </si>
  <si>
    <t>FF</t>
  </si>
  <si>
    <t>5A</t>
  </si>
  <si>
    <t>FD</t>
  </si>
  <si>
    <t>FB</t>
  </si>
  <si>
    <t>0E</t>
  </si>
  <si>
    <t>0D</t>
  </si>
  <si>
    <t>30</t>
  </si>
  <si>
    <t>05</t>
  </si>
  <si>
    <t>01</t>
  </si>
  <si>
    <t>02</t>
  </si>
  <si>
    <t>00</t>
  </si>
  <si>
    <t>03</t>
  </si>
  <si>
    <t>04</t>
  </si>
  <si>
    <t>07</t>
  </si>
  <si>
    <t>36</t>
  </si>
  <si>
    <t>38</t>
  </si>
  <si>
    <t>80</t>
  </si>
  <si>
    <t>78</t>
  </si>
  <si>
    <t>58</t>
  </si>
  <si>
    <t>37</t>
  </si>
  <si>
    <t xml:space="preserve">      CHECKSUMS: </t>
  </si>
  <si>
    <t xml:space="preserve">EXTRA INFO: </t>
  </si>
  <si>
    <t>FE</t>
  </si>
  <si>
    <t xml:space="preserve">       LOAD &amp; SAVE EEPROM: </t>
  </si>
  <si>
    <t>EEPROM OPERATIONS</t>
  </si>
  <si>
    <t xml:space="preserve">SKC KEY: </t>
  </si>
  <si>
    <t>33</t>
  </si>
  <si>
    <t>32 / 32</t>
  </si>
  <si>
    <r>
      <rPr>
        <b/>
        <sz val="25"/>
        <color rgb="FFFF0000"/>
        <rFont val="Cambria"/>
        <family val="1"/>
        <charset val="186"/>
        <scheme val="major"/>
      </rPr>
      <t>EEPROM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
MODDER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v1.1</t>
    </r>
  </si>
  <si>
    <t>26</t>
  </si>
  <si>
    <t>40</t>
  </si>
  <si>
    <t>7B</t>
  </si>
  <si>
    <t>0F</t>
  </si>
  <si>
    <t>06</t>
  </si>
  <si>
    <t>76</t>
  </si>
  <si>
    <t>31</t>
  </si>
  <si>
    <t>41</t>
  </si>
  <si>
    <t>C1</t>
  </si>
  <si>
    <t>69</t>
  </si>
  <si>
    <t>A5</t>
  </si>
  <si>
    <t>27</t>
  </si>
  <si>
    <t>B0</t>
  </si>
  <si>
    <t>08</t>
  </si>
  <si>
    <t>BC</t>
  </si>
  <si>
    <t>42</t>
  </si>
  <si>
    <t>C5</t>
  </si>
  <si>
    <t>47</t>
  </si>
  <si>
    <t>25</t>
  </si>
  <si>
    <t>FC</t>
  </si>
  <si>
    <t>77</t>
  </si>
  <si>
    <t>83</t>
  </si>
  <si>
    <t>ED</t>
  </si>
  <si>
    <t>7C</t>
  </si>
  <si>
    <t>3C</t>
  </si>
  <si>
    <t>2C</t>
  </si>
  <si>
    <t>C8</t>
  </si>
  <si>
    <t>57</t>
  </si>
  <si>
    <t>56</t>
  </si>
  <si>
    <t>20</t>
  </si>
  <si>
    <t>32</t>
  </si>
  <si>
    <t>45</t>
  </si>
  <si>
    <t>BA</t>
  </si>
  <si>
    <t>34</t>
  </si>
  <si>
    <t>35</t>
  </si>
  <si>
    <t>D1</t>
  </si>
  <si>
    <t>89</t>
  </si>
  <si>
    <t>11</t>
  </si>
  <si>
    <t>E3</t>
  </si>
  <si>
    <t>EA</t>
  </si>
  <si>
    <t>E9</t>
  </si>
  <si>
    <t>24</t>
  </si>
  <si>
    <t>A4</t>
  </si>
  <si>
    <t>E7</t>
  </si>
  <si>
    <t>E6</t>
  </si>
  <si>
    <t>E5</t>
  </si>
  <si>
    <t>39</t>
  </si>
  <si>
    <t>44</t>
  </si>
  <si>
    <t>43</t>
  </si>
  <si>
    <t>5F</t>
  </si>
  <si>
    <t>22</t>
  </si>
  <si>
    <t>4E</t>
  </si>
  <si>
    <t>46</t>
  </si>
  <si>
    <t>4D</t>
  </si>
  <si>
    <t>54</t>
  </si>
  <si>
    <t>4F</t>
  </si>
  <si>
    <t>D6</t>
  </si>
  <si>
    <t>Z3BZ2E277882V</t>
  </si>
  <si>
    <t>02224</t>
  </si>
  <si>
    <t>PRESET:</t>
  </si>
  <si>
    <r>
      <rPr>
        <b/>
        <sz val="25"/>
        <color rgb="FFFF0000"/>
        <rFont val="Cambria"/>
        <family val="1"/>
        <charset val="186"/>
        <scheme val="major"/>
      </rPr>
      <t>KFMIRL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ADVISER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v1.3</t>
    </r>
  </si>
  <si>
    <t>NONE</t>
  </si>
  <si>
    <t>SMALL TURBO</t>
  </si>
  <si>
    <t>Original KVB:</t>
  </si>
  <si>
    <t>Original KRKTE</t>
  </si>
  <si>
    <t>KVB:</t>
  </si>
  <si>
    <t>4.0</t>
  </si>
  <si>
    <t>2) CODEWORDS CONVERTER</t>
  </si>
  <si>
    <t>3) INJECTORS DATABASE</t>
  </si>
  <si>
    <t>4) KRKTE CALCULATOR</t>
  </si>
  <si>
    <t>5) FKKVS FIXER</t>
  </si>
  <si>
    <t>6) KFMIRL ADVISER</t>
  </si>
  <si>
    <t>7) KFMIOP CALCULATOR (16x16|11x16)</t>
  </si>
  <si>
    <t>8) KFMIOP CALCULATOR (12x16|11x16)</t>
  </si>
  <si>
    <t>9) KFZWOP|2 CONVERTER</t>
  </si>
  <si>
    <t>10) LDRXN|LDRXNZK CALCULATOR</t>
  </si>
  <si>
    <r>
      <rPr>
        <b/>
        <sz val="25"/>
        <color rgb="FFFF0000"/>
        <rFont val="Cambria"/>
        <family val="1"/>
        <charset val="186"/>
        <scheme val="major"/>
      </rPr>
      <t>CODEWORDS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CONVERTER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v1.0</t>
    </r>
  </si>
  <si>
    <t>ENTER CODEWORD VALUE IN DECIMAL NUMBER:</t>
  </si>
  <si>
    <t>BIT 0</t>
  </si>
  <si>
    <t>BIT 1</t>
  </si>
  <si>
    <t>BIT 2</t>
  </si>
  <si>
    <t>BIT 3</t>
  </si>
  <si>
    <t>BIT 4</t>
  </si>
  <si>
    <t>BIT 5</t>
  </si>
  <si>
    <t>BIT 6</t>
  </si>
  <si>
    <t>BIT 7</t>
  </si>
  <si>
    <t>BIT 8</t>
  </si>
  <si>
    <t>BIT 9</t>
  </si>
  <si>
    <t>BIT 10</t>
  </si>
  <si>
    <t>BIT 11</t>
  </si>
  <si>
    <t>BIT 12</t>
  </si>
  <si>
    <t>BIT 13</t>
  </si>
  <si>
    <t>BIT 14</t>
  </si>
  <si>
    <t>BIT 15</t>
  </si>
  <si>
    <t>D:\Sandbox\masterj\VAG_COM\drive\C\Program Files (x86)\ME7Logger_GUI v1.4\logs\FKKVS CALIBRATION_20121016_220856.csv</t>
  </si>
  <si>
    <t>CURRENT FKKVS MAP</t>
  </si>
  <si>
    <t>NEW FKKVS MAP</t>
  </si>
  <si>
    <r>
      <rPr>
        <b/>
        <sz val="25"/>
        <color rgb="FFFF0000"/>
        <rFont val="Cambria"/>
        <family val="1"/>
        <charset val="186"/>
        <scheme val="major"/>
      </rPr>
      <t>FKKVS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
FIXER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v1.2</t>
    </r>
  </si>
  <si>
    <t>ATTENTION!</t>
  </si>
  <si>
    <r>
      <t xml:space="preserve">It is recommended to disable FUEL TRIMS before logging. To do this set bits 0 &amp; 1 of </t>
    </r>
    <r>
      <rPr>
        <b/>
        <sz val="11"/>
        <color rgb="FFC5D9F1"/>
        <rFont val="Calibri"/>
        <family val="2"/>
        <charset val="186"/>
        <scheme val="minor"/>
      </rPr>
      <t>NOLRA</t>
    </r>
    <r>
      <rPr>
        <sz val="11"/>
        <color rgb="FFC5D9F1"/>
        <rFont val="Calibri"/>
        <family val="2"/>
        <charset val="186"/>
        <scheme val="minor"/>
      </rPr>
      <t xml:space="preserve"> map to </t>
    </r>
    <r>
      <rPr>
        <b/>
        <sz val="11"/>
        <color rgb="FFC5D9F1"/>
        <rFont val="Calibri"/>
        <family val="2"/>
        <charset val="186"/>
        <scheme val="minor"/>
      </rPr>
      <t>TRUE</t>
    </r>
    <r>
      <rPr>
        <sz val="11"/>
        <color rgb="FFC5D9F1"/>
        <rFont val="Calibri"/>
        <family val="2"/>
        <charset val="186"/>
        <scheme val="minor"/>
      </rPr>
      <t>!</t>
    </r>
  </si>
  <si>
    <t>ORIGINAL FUNCTION</t>
  </si>
  <si>
    <t>MODIFIED FUNCTION</t>
  </si>
  <si>
    <t>1</t>
  </si>
  <si>
    <t>2</t>
  </si>
  <si>
    <t>3</t>
  </si>
  <si>
    <t>5</t>
  </si>
  <si>
    <t>6</t>
  </si>
  <si>
    <t>7</t>
  </si>
  <si>
    <t>9</t>
  </si>
  <si>
    <t>09</t>
  </si>
  <si>
    <t>12</t>
  </si>
  <si>
    <t>13</t>
  </si>
  <si>
    <t>A</t>
  </si>
  <si>
    <t>B</t>
  </si>
  <si>
    <t>C</t>
  </si>
  <si>
    <t>D</t>
  </si>
  <si>
    <t>E</t>
  </si>
  <si>
    <t>F</t>
  </si>
  <si>
    <t>0</t>
  </si>
  <si>
    <t>9A</t>
  </si>
  <si>
    <t>2B</t>
  </si>
  <si>
    <t>F2</t>
  </si>
  <si>
    <t>F4</t>
  </si>
  <si>
    <t>8E</t>
  </si>
  <si>
    <t>D7</t>
  </si>
  <si>
    <t>81</t>
  </si>
  <si>
    <t>F9</t>
  </si>
  <si>
    <t>7E</t>
  </si>
  <si>
    <t>49</t>
  </si>
  <si>
    <t>9D</t>
  </si>
  <si>
    <t>0B</t>
  </si>
  <si>
    <t>7A</t>
  </si>
  <si>
    <t>F8</t>
  </si>
  <si>
    <t>F7</t>
  </si>
  <si>
    <t>AC</t>
  </si>
  <si>
    <t>8D</t>
  </si>
  <si>
    <t>2F</t>
  </si>
  <si>
    <t>29</t>
  </si>
  <si>
    <t>8A</t>
  </si>
  <si>
    <t>60</t>
  </si>
  <si>
    <t>1A</t>
  </si>
  <si>
    <t>C2</t>
  </si>
  <si>
    <t>8B</t>
  </si>
  <si>
    <t>F0</t>
  </si>
  <si>
    <t>F6</t>
  </si>
  <si>
    <t>8F</t>
  </si>
  <si>
    <t>F3</t>
  </si>
  <si>
    <t>DB</t>
  </si>
  <si>
    <t>tsrldyn</t>
  </si>
  <si>
    <t>b_kuppl</t>
  </si>
  <si>
    <t>vfil_w</t>
  </si>
  <si>
    <t>nmot_w</t>
  </si>
  <si>
    <t>wped</t>
  </si>
  <si>
    <t>b_brems</t>
  </si>
  <si>
    <t>0x380BA4</t>
  </si>
  <si>
    <t>0x00FD4A</t>
  </si>
  <si>
    <t>0x381CB8</t>
  </si>
  <si>
    <t>0x00F89E</t>
  </si>
  <si>
    <t>0x3809A8</t>
  </si>
  <si>
    <t>address:</t>
  </si>
  <si>
    <t>bitmask:</t>
  </si>
  <si>
    <t>decoded:</t>
  </si>
  <si>
    <t>FTOMN</t>
  </si>
  <si>
    <t>SpeedThreshold</t>
  </si>
  <si>
    <t>LaunchRPM</t>
  </si>
  <si>
    <t>IgnitionCutDuration</t>
  </si>
  <si>
    <t>RPMThreshold</t>
  </si>
  <si>
    <t>AccPedalThreshold</t>
  </si>
  <si>
    <t>variable:</t>
  </si>
  <si>
    <t>MAP:</t>
  </si>
  <si>
    <t>NLS COUNT</t>
  </si>
  <si>
    <t>size:</t>
  </si>
  <si>
    <t>2byte</t>
  </si>
  <si>
    <t>1byte</t>
  </si>
  <si>
    <t>4 bytes before last "D7 40 06 02 03 F8":</t>
  </si>
  <si>
    <t>modified 4 bytes before last "D7 40 06 02 03 F8":</t>
  </si>
  <si>
    <t>9C</t>
  </si>
  <si>
    <t>MAIN FUNCTION</t>
  </si>
  <si>
    <t>DA</t>
  </si>
  <si>
    <t>0x017400</t>
  </si>
  <si>
    <t>0x017402</t>
  </si>
  <si>
    <t>0x017404</t>
  </si>
  <si>
    <t>0x017406</t>
  </si>
  <si>
    <t>0x017408</t>
  </si>
  <si>
    <t>0x01A61A</t>
  </si>
  <si>
    <t>0x0A6860</t>
  </si>
  <si>
    <t>11) ANTILAG|LAUNCH CONTROL MODDER</t>
  </si>
  <si>
    <t>74</t>
  </si>
  <si>
    <t>9E</t>
  </si>
  <si>
    <t>A8</t>
  </si>
  <si>
    <t>B8</t>
  </si>
  <si>
    <t>68</t>
  </si>
  <si>
    <t>0x384FF0</t>
  </si>
  <si>
    <t>0x200</t>
  </si>
  <si>
    <t>90</t>
  </si>
  <si>
    <t>9F</t>
  </si>
  <si>
    <t>0x1000</t>
  </si>
  <si>
    <t>C0</t>
  </si>
  <si>
    <r>
      <rPr>
        <b/>
        <sz val="25"/>
        <color rgb="FFFF0000"/>
        <rFont val="Cambria"/>
        <family val="1"/>
        <charset val="186"/>
        <scheme val="major"/>
      </rPr>
      <t xml:space="preserve">ANTILAG/LAUNCH CONTROL </t>
    </r>
    <r>
      <rPr>
        <b/>
        <sz val="25"/>
        <rFont val="Cambria"/>
        <family val="1"/>
        <charset val="186"/>
        <scheme val="major"/>
      </rPr>
      <t>MODDER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
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 (function by setzi62)
</t>
    </r>
    <r>
      <rPr>
        <b/>
        <sz val="25"/>
        <color theme="4" tint="-0.249977111117893"/>
        <rFont val="Calibri"/>
        <family val="2"/>
        <charset val="186"/>
        <scheme val="minor"/>
      </rPr>
      <t>v1.1a</t>
    </r>
  </si>
  <si>
    <r>
      <rPr>
        <b/>
        <sz val="25"/>
        <color rgb="FFFF0000"/>
        <rFont val="Cambria"/>
        <family val="1"/>
        <charset val="186"/>
        <scheme val="major"/>
      </rPr>
      <t>INJECTORS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DATABASE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v1.0a</t>
    </r>
  </si>
  <si>
    <t>Marius G. aka MasterJ and Vladimir R. aka z1ck</t>
  </si>
  <si>
    <t>twoz1ck@gmail.com</t>
  </si>
  <si>
    <t xml:space="preserve">Updated by: Vladimir R. aka z1ck </t>
  </si>
  <si>
    <r>
      <rPr>
        <b/>
        <sz val="25"/>
        <color rgb="FFFF0000"/>
        <rFont val="Cambria"/>
        <family val="1"/>
        <charset val="186"/>
        <scheme val="major"/>
      </rPr>
      <t>KRKTE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CALCULATOR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 and z1ck
</t>
    </r>
    <r>
      <rPr>
        <b/>
        <sz val="25"/>
        <color theme="4" tint="-0.249977111117893"/>
        <rFont val="Calibri"/>
        <family val="2"/>
        <charset val="186"/>
        <scheme val="minor"/>
      </rPr>
      <t>v1.5</t>
    </r>
  </si>
  <si>
    <r>
      <rPr>
        <b/>
        <sz val="25"/>
        <color rgb="FFFF0000"/>
        <rFont val="Cambria"/>
        <family val="1"/>
        <charset val="186"/>
        <scheme val="major"/>
      </rPr>
      <t xml:space="preserve">KFZWOP / 2 </t>
    </r>
    <r>
      <rPr>
        <b/>
        <sz val="25"/>
        <rFont val="Cambria"/>
        <family val="1"/>
        <charset val="204"/>
        <scheme val="major"/>
      </rPr>
      <t>and</t>
    </r>
    <r>
      <rPr>
        <b/>
        <sz val="25"/>
        <color rgb="FFFF0000"/>
        <rFont val="Cambria"/>
        <family val="1"/>
        <charset val="186"/>
        <scheme val="major"/>
      </rPr>
      <t xml:space="preserve"> KFMDS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
CONVERTER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 and z1ck
</t>
    </r>
    <r>
      <rPr>
        <b/>
        <sz val="25"/>
        <color theme="4" tint="-0.249977111117893"/>
        <rFont val="Calibri"/>
        <family val="2"/>
        <charset val="186"/>
        <scheme val="minor"/>
      </rPr>
      <t>v1.3</t>
    </r>
  </si>
  <si>
    <t>5/30/2021  8:45:31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</si>
</sst>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0"/>
    <numFmt numFmtId="166" formatCode="0.00000"/>
    <numFmt numFmtId="167" formatCode="0.000000"/>
  </numFmts>
  <fonts count="46" x14ac:knownFonts="1">
    <font>
      <sz val="11"/>
      <color theme="1"/>
      <name val="Calibri"/>
      <family val="2"/>
      <charset val="186"/>
      <scheme val="minor"/>
    </font>
    <font>
      <b/>
      <sz val="11"/>
      <color theme="1"/>
      <name val="Calibri"/>
      <family val="2"/>
      <charset val="186"/>
      <scheme val="minor"/>
    </font>
    <font>
      <b/>
      <sz val="15"/>
      <color theme="1" tint="0.249977111117893"/>
      <name val="Calibri"/>
      <family val="2"/>
      <charset val="186"/>
      <scheme val="minor"/>
    </font>
    <font>
      <u/>
      <sz val="11"/>
      <color theme="10"/>
      <name val="Calibri"/>
      <family val="2"/>
      <charset val="186"/>
    </font>
    <font>
      <u/>
      <sz val="11"/>
      <color rgb="FF974807"/>
      <name val="Calibri"/>
      <family val="2"/>
      <charset val="186"/>
    </font>
    <font>
      <b/>
      <i/>
      <sz val="18"/>
      <color theme="1" tint="0.249977111117893"/>
      <name val="Calibri"/>
      <family val="2"/>
      <charset val="186"/>
      <scheme val="minor"/>
    </font>
    <font>
      <sz val="11"/>
      <color theme="4" tint="0.79998168889431442"/>
      <name val="Calibri"/>
      <family val="2"/>
      <charset val="186"/>
      <scheme val="minor"/>
    </font>
    <font>
      <b/>
      <sz val="11"/>
      <color theme="4" tint="0.79998168889431442"/>
      <name val="Calibri"/>
      <family val="2"/>
      <charset val="186"/>
      <scheme val="minor"/>
    </font>
    <font>
      <b/>
      <sz val="25"/>
      <color theme="4" tint="0.79998168889431442"/>
      <name val="Cambria"/>
      <family val="1"/>
      <charset val="186"/>
      <scheme val="major"/>
    </font>
    <font>
      <b/>
      <sz val="25"/>
      <color rgb="FFFF0000"/>
      <name val="Cambria"/>
      <family val="1"/>
      <charset val="186"/>
      <scheme val="major"/>
    </font>
    <font>
      <b/>
      <sz val="25"/>
      <color theme="3" tint="-0.499984740745262"/>
      <name val="Cambria"/>
      <family val="1"/>
      <charset val="186"/>
      <scheme val="major"/>
    </font>
    <font>
      <sz val="10"/>
      <color theme="1"/>
      <name val="Calibri"/>
      <family val="2"/>
      <charset val="186"/>
      <scheme val="minor"/>
    </font>
    <font>
      <b/>
      <sz val="25"/>
      <color theme="4" tint="-0.249977111117893"/>
      <name val="Calibri"/>
      <family val="2"/>
      <charset val="186"/>
      <scheme val="minor"/>
    </font>
    <font>
      <sz val="20"/>
      <color theme="1"/>
      <name val="Calibri"/>
      <family val="2"/>
      <charset val="186"/>
      <scheme val="minor"/>
    </font>
    <font>
      <sz val="20"/>
      <color rgb="FFDBE5F1"/>
      <name val="Calibri"/>
      <family val="2"/>
      <charset val="186"/>
      <scheme val="minor"/>
    </font>
    <font>
      <sz val="11"/>
      <color theme="3" tint="-0.249977111117893"/>
      <name val="Calibri"/>
      <family val="2"/>
      <charset val="186"/>
      <scheme val="minor"/>
    </font>
    <font>
      <sz val="20"/>
      <color theme="4" tint="-0.249977111117893"/>
      <name val="Cambria"/>
      <family val="1"/>
      <charset val="186"/>
      <scheme val="major"/>
    </font>
    <font>
      <b/>
      <sz val="11"/>
      <color rgb="FFCC6507"/>
      <name val="Calibri"/>
      <family val="2"/>
      <charset val="186"/>
      <scheme val="minor"/>
    </font>
    <font>
      <sz val="11"/>
      <color rgb="FFB2A1C7"/>
      <name val="Calibri"/>
      <family val="2"/>
      <charset val="186"/>
      <scheme val="minor"/>
    </font>
    <font>
      <u/>
      <sz val="11"/>
      <color rgb="FFB2A1C7"/>
      <name val="Calibri"/>
      <family val="2"/>
      <charset val="186"/>
    </font>
    <font>
      <b/>
      <sz val="20"/>
      <color rgb="FFF79646"/>
      <name val="Calibri"/>
      <family val="2"/>
      <charset val="186"/>
      <scheme val="minor"/>
    </font>
    <font>
      <sz val="11"/>
      <color rgb="FFFCC38E"/>
      <name val="Calibri"/>
      <family val="2"/>
      <charset val="186"/>
      <scheme val="minor"/>
    </font>
    <font>
      <sz val="11"/>
      <color rgb="FFB2A1C7"/>
      <name val="Cambria"/>
      <family val="1"/>
      <charset val="186"/>
    </font>
    <font>
      <b/>
      <sz val="11"/>
      <color rgb="FFC5D9F1"/>
      <name val="Calibri"/>
      <family val="2"/>
      <charset val="186"/>
      <scheme val="minor"/>
    </font>
    <font>
      <b/>
      <sz val="10"/>
      <color theme="1"/>
      <name val="Calibri"/>
      <family val="2"/>
      <charset val="186"/>
      <scheme val="minor"/>
    </font>
    <font>
      <b/>
      <sz val="13"/>
      <color theme="1"/>
      <name val="Calibri"/>
      <family val="2"/>
      <charset val="186"/>
      <scheme val="minor"/>
    </font>
    <font>
      <sz val="13"/>
      <color theme="1"/>
      <name val="Calibri"/>
      <family val="2"/>
      <charset val="186"/>
      <scheme val="minor"/>
    </font>
    <font>
      <b/>
      <sz val="11"/>
      <name val="Calibri"/>
      <family val="2"/>
      <charset val="186"/>
      <scheme val="minor"/>
    </font>
    <font>
      <b/>
      <sz val="11"/>
      <color rgb="FFDBE5F1"/>
      <name val="Calibri"/>
      <family val="2"/>
      <charset val="186"/>
      <scheme val="minor"/>
    </font>
    <font>
      <sz val="10"/>
      <color rgb="FFF9B277"/>
      <name val="Terminal"/>
      <family val="3"/>
      <charset val="255"/>
    </font>
    <font>
      <sz val="10"/>
      <color theme="1"/>
      <name val="Terminal"/>
      <family val="3"/>
      <charset val="255"/>
    </font>
    <font>
      <b/>
      <sz val="16"/>
      <color theme="4" tint="0.79998168889431442"/>
      <name val="Cambria"/>
      <family val="1"/>
      <charset val="186"/>
      <scheme val="major"/>
    </font>
    <font>
      <sz val="16"/>
      <color theme="1"/>
      <name val="Calibri"/>
      <family val="2"/>
      <charset val="186"/>
      <scheme val="minor"/>
    </font>
    <font>
      <sz val="10"/>
      <color theme="1"/>
      <name val="Sylfaen"/>
      <family val="1"/>
      <charset val="186"/>
    </font>
    <font>
      <sz val="11"/>
      <name val="Calibri"/>
      <family val="2"/>
      <charset val="186"/>
      <scheme val="minor"/>
    </font>
    <font>
      <sz val="11"/>
      <color rgb="FFC5D9F1"/>
      <name val="Calibri"/>
      <family val="2"/>
      <charset val="186"/>
      <scheme val="minor"/>
    </font>
    <font>
      <b/>
      <sz val="15"/>
      <color rgb="FFFF9933"/>
      <name val="Calibri"/>
      <family val="2"/>
      <charset val="186"/>
      <scheme val="minor"/>
    </font>
    <font>
      <sz val="13"/>
      <color rgb="FFF9B277"/>
      <name val="Terminal"/>
      <family val="3"/>
      <charset val="255"/>
    </font>
    <font>
      <b/>
      <sz val="11"/>
      <color rgb="FFFF9933"/>
      <name val="Calibri"/>
      <family val="2"/>
      <charset val="186"/>
      <scheme val="minor"/>
    </font>
    <font>
      <b/>
      <sz val="25"/>
      <name val="Cambria"/>
      <family val="1"/>
      <charset val="186"/>
      <scheme val="major"/>
    </font>
    <font>
      <sz val="11"/>
      <color rgb="FFFF9933"/>
      <name val="Calibri"/>
      <family val="2"/>
      <charset val="186"/>
      <scheme val="minor"/>
    </font>
    <font>
      <sz val="11"/>
      <color rgb="FFDBE5F1"/>
      <name val="Calibri"/>
      <family val="2"/>
      <charset val="186"/>
      <scheme val="minor"/>
    </font>
    <font>
      <sz val="10"/>
      <name val="Terminal"/>
      <family val="3"/>
      <charset val="255"/>
    </font>
    <font>
      <sz val="8"/>
      <color rgb="FF000000"/>
      <name val="Tahoma"/>
      <family val="2"/>
      <charset val="204"/>
    </font>
    <font>
      <b/>
      <sz val="15"/>
      <color theme="1" tint="0.249977111117893"/>
      <name val="Calibri"/>
      <family val="1"/>
      <charset val="186"/>
      <scheme val="minor"/>
    </font>
    <font>
      <b/>
      <sz val="25"/>
      <name val="Cambria"/>
      <family val="1"/>
      <charset val="204"/>
      <scheme val="major"/>
    </font>
  </fonts>
  <fills count="2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5E0EC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9B277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9933"/>
        <bgColor indexed="64"/>
      </patternFill>
    </fill>
  </fills>
  <borders count="110">
    <border>
      <left/>
      <right/>
      <top/>
      <bottom/>
      <diagonal/>
    </border>
    <border>
      <left/>
      <right/>
      <top/>
      <bottom style="thin">
        <color rgb="FF646464"/>
      </bottom>
      <diagonal/>
    </border>
    <border>
      <left/>
      <right/>
      <top style="thin">
        <color rgb="FF646464"/>
      </top>
      <bottom/>
      <diagonal/>
    </border>
    <border>
      <left style="thin">
        <color rgb="FF646464"/>
      </left>
      <right/>
      <top style="thin">
        <color rgb="FF646464"/>
      </top>
      <bottom/>
      <diagonal/>
    </border>
    <border>
      <left style="thin">
        <color rgb="FF646464"/>
      </left>
      <right/>
      <top/>
      <bottom/>
      <diagonal/>
    </border>
    <border>
      <left style="thin">
        <color rgb="FF646464"/>
      </left>
      <right/>
      <top/>
      <bottom style="thin">
        <color rgb="FF646464"/>
      </bottom>
      <diagonal/>
    </border>
    <border>
      <left/>
      <right style="thin">
        <color rgb="FF646464"/>
      </right>
      <top style="thin">
        <color rgb="FF646464"/>
      </top>
      <bottom/>
      <diagonal/>
    </border>
    <border>
      <left/>
      <right style="thin">
        <color rgb="FF646464"/>
      </right>
      <top/>
      <bottom/>
      <diagonal/>
    </border>
    <border>
      <left/>
      <right style="thin">
        <color rgb="FF646464"/>
      </right>
      <top/>
      <bottom style="thin">
        <color rgb="FF646464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646464"/>
      </left>
      <right/>
      <top style="thin">
        <color rgb="FF646464"/>
      </top>
      <bottom style="thin">
        <color rgb="FF646464"/>
      </bottom>
      <diagonal/>
    </border>
    <border>
      <left/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ck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n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 style="thin">
        <color theme="0" tint="-0.499984740745262"/>
      </top>
      <bottom/>
      <diagonal/>
    </border>
    <border>
      <left style="thick">
        <color theme="0" tint="-0.499984740745262"/>
      </left>
      <right style="thick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ck">
        <color theme="0" tint="-0.499984740745262"/>
      </top>
      <bottom style="thick">
        <color theme="0" tint="-0.499984740745262"/>
      </bottom>
      <diagonal/>
    </border>
    <border>
      <left/>
      <right/>
      <top style="thick">
        <color theme="0" tint="-0.499984740745262"/>
      </top>
      <bottom/>
      <diagonal/>
    </border>
    <border>
      <left style="thin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ck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ck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  <border>
      <left/>
      <right/>
      <top/>
      <bottom style="thick">
        <color theme="0" tint="-0.499984740745262"/>
      </bottom>
      <diagonal/>
    </border>
    <border>
      <left style="thick">
        <color theme="0" tint="-0.499984740745262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rgb="FF7F7F7F"/>
      </left>
      <right style="thick">
        <color rgb="FF7F7F7F"/>
      </right>
      <top style="thick">
        <color rgb="FF7F7F7F"/>
      </top>
      <bottom style="thick">
        <color rgb="FF7F7F7F"/>
      </bottom>
      <diagonal/>
    </border>
    <border>
      <left style="thick">
        <color rgb="FF7F7F7F"/>
      </left>
      <right style="thin">
        <color theme="0" tint="-0.499984740745262"/>
      </right>
      <top style="thick">
        <color rgb="FF7F7F7F"/>
      </top>
      <bottom style="thick">
        <color rgb="FF7F7F7F"/>
      </bottom>
      <diagonal/>
    </border>
    <border>
      <left style="thin">
        <color theme="0" tint="-0.499984740745262"/>
      </left>
      <right style="thin">
        <color theme="0" tint="-0.499984740745262"/>
      </right>
      <top style="thick">
        <color rgb="FF7F7F7F"/>
      </top>
      <bottom style="thick">
        <color rgb="FF7F7F7F"/>
      </bottom>
      <diagonal/>
    </border>
    <border>
      <left style="thin">
        <color theme="0" tint="-0.499984740745262"/>
      </left>
      <right style="thick">
        <color rgb="FF7F7F7F"/>
      </right>
      <top style="thick">
        <color rgb="FF7F7F7F"/>
      </top>
      <bottom style="thick">
        <color rgb="FF7F7F7F"/>
      </bottom>
      <diagonal/>
    </border>
    <border>
      <left style="thick">
        <color rgb="FF7F7F7F"/>
      </left>
      <right/>
      <top style="thick">
        <color rgb="FF7F7F7F"/>
      </top>
      <bottom style="thin">
        <color rgb="FF646464"/>
      </bottom>
      <diagonal/>
    </border>
    <border>
      <left style="thick">
        <color rgb="FF7F7F7F"/>
      </left>
      <right/>
      <top style="thin">
        <color rgb="FF646464"/>
      </top>
      <bottom style="thin">
        <color rgb="FF646464"/>
      </bottom>
      <diagonal/>
    </border>
    <border>
      <left style="thick">
        <color rgb="FF7F7F7F"/>
      </left>
      <right/>
      <top style="thin">
        <color rgb="FF646464"/>
      </top>
      <bottom style="thick">
        <color rgb="FF7F7F7F"/>
      </bottom>
      <diagonal/>
    </border>
    <border>
      <left style="thick">
        <color rgb="FF7F7F7F"/>
      </left>
      <right style="thin">
        <color rgb="FF7F7F7F"/>
      </right>
      <top style="thick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ck">
        <color rgb="FF7F7F7F"/>
      </top>
      <bottom style="thin">
        <color rgb="FF7F7F7F"/>
      </bottom>
      <diagonal/>
    </border>
    <border>
      <left style="thin">
        <color rgb="FF7F7F7F"/>
      </left>
      <right style="thick">
        <color rgb="FF7F7F7F"/>
      </right>
      <top style="thick">
        <color rgb="FF7F7F7F"/>
      </top>
      <bottom style="thin">
        <color rgb="FF7F7F7F"/>
      </bottom>
      <diagonal/>
    </border>
    <border>
      <left style="thick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ck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rgb="FF7F7F7F"/>
      </left>
      <right style="thin">
        <color rgb="FF7F7F7F"/>
      </right>
      <top style="thin">
        <color rgb="FF7F7F7F"/>
      </top>
      <bottom style="thick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ck">
        <color rgb="FF7F7F7F"/>
      </bottom>
      <diagonal/>
    </border>
    <border>
      <left style="thin">
        <color rgb="FF7F7F7F"/>
      </left>
      <right style="thick">
        <color rgb="FF7F7F7F"/>
      </right>
      <top style="thin">
        <color rgb="FF7F7F7F"/>
      </top>
      <bottom style="thick">
        <color rgb="FF7F7F7F"/>
      </bottom>
      <diagonal/>
    </border>
    <border>
      <left style="thin">
        <color rgb="FF7F7F7F"/>
      </left>
      <right style="thick">
        <color rgb="FF7F7F7F"/>
      </right>
      <top style="thick">
        <color rgb="FF7F7F7F"/>
      </top>
      <bottom style="thick">
        <color rgb="FF7F7F7F"/>
      </bottom>
      <diagonal/>
    </border>
    <border>
      <left style="thick">
        <color rgb="FF7F7F7F"/>
      </left>
      <right style="thick">
        <color rgb="FF7F7F7F"/>
      </right>
      <top style="thick">
        <color rgb="FF7F7F7F"/>
      </top>
      <bottom style="thin">
        <color rgb="FF7F7F7F"/>
      </bottom>
      <diagonal/>
    </border>
    <border>
      <left/>
      <right style="thick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 style="thick">
        <color rgb="FF7F7F7F"/>
      </top>
      <bottom style="thick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 style="thick">
        <color rgb="FF7F7F7F"/>
      </left>
      <right style="thick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rgb="FF7F7F7F"/>
      </left>
      <right style="thick">
        <color rgb="FF7F7F7F"/>
      </right>
      <top style="thin">
        <color rgb="FF7F7F7F"/>
      </top>
      <bottom style="thick">
        <color rgb="FF7F7F7F"/>
      </bottom>
      <diagonal/>
    </border>
    <border>
      <left style="thick">
        <color rgb="FF7F7F7F"/>
      </left>
      <right style="thin">
        <color rgb="FF7F7F7F"/>
      </right>
      <top style="thick">
        <color rgb="FF7F7F7F"/>
      </top>
      <bottom style="thick">
        <color rgb="FF7F7F7F"/>
      </bottom>
      <diagonal/>
    </border>
    <border>
      <left/>
      <right style="thin">
        <color rgb="FF7F7F7F"/>
      </right>
      <top style="thick">
        <color rgb="FF7F7F7F"/>
      </top>
      <bottom style="thin">
        <color rgb="FF7F7F7F"/>
      </bottom>
      <diagonal/>
    </border>
    <border>
      <left/>
      <right style="thick">
        <color rgb="FF7F7F7F"/>
      </right>
      <top style="thick">
        <color rgb="FF7F7F7F"/>
      </top>
      <bottom style="thin">
        <color rgb="FF7F7F7F"/>
      </bottom>
      <diagonal/>
    </border>
    <border>
      <left/>
      <right style="thick">
        <color rgb="FF7F7F7F"/>
      </right>
      <top/>
      <bottom style="thin">
        <color rgb="FF7F7F7F"/>
      </bottom>
      <diagonal/>
    </border>
    <border>
      <left/>
      <right style="thin">
        <color rgb="FF7F7F7F"/>
      </right>
      <top/>
      <bottom style="thick">
        <color rgb="FF7F7F7F"/>
      </bottom>
      <diagonal/>
    </border>
    <border>
      <left style="thin">
        <color rgb="FF7F7F7F"/>
      </left>
      <right style="thin">
        <color rgb="FF7F7F7F"/>
      </right>
      <top/>
      <bottom style="thick">
        <color rgb="FF7F7F7F"/>
      </bottom>
      <diagonal/>
    </border>
    <border>
      <left/>
      <right style="thick">
        <color rgb="FF7F7F7F"/>
      </right>
      <top/>
      <bottom style="thick">
        <color rgb="FF7F7F7F"/>
      </bottom>
      <diagonal/>
    </border>
    <border>
      <left style="thick">
        <color rgb="FF7F7F7F"/>
      </left>
      <right style="thick">
        <color rgb="FF7F7F7F"/>
      </right>
      <top style="thick">
        <color rgb="FF7F7F7F"/>
      </top>
      <bottom/>
      <diagonal/>
    </border>
    <border>
      <left style="thick">
        <color rgb="FF7F7F7F"/>
      </left>
      <right/>
      <top style="thick">
        <color rgb="FF7F7F7F"/>
      </top>
      <bottom style="thick">
        <color rgb="FF7F7F7F"/>
      </bottom>
      <diagonal/>
    </border>
    <border>
      <left style="thick">
        <color rgb="FF7F7F7F"/>
      </left>
      <right style="thin">
        <color rgb="FF7F7F7F"/>
      </right>
      <top style="thick">
        <color rgb="FF7F7F7F"/>
      </top>
      <bottom/>
      <diagonal/>
    </border>
    <border>
      <left style="thin">
        <color rgb="FF7F7F7F"/>
      </left>
      <right style="thin">
        <color rgb="FF7F7F7F"/>
      </right>
      <top style="thick">
        <color rgb="FF7F7F7F"/>
      </top>
      <bottom/>
      <diagonal/>
    </border>
    <border>
      <left style="thin">
        <color rgb="FF7F7F7F"/>
      </left>
      <right style="thick">
        <color rgb="FF7F7F7F"/>
      </right>
      <top style="thick">
        <color rgb="FF7F7F7F"/>
      </top>
      <bottom/>
      <diagonal/>
    </border>
    <border>
      <left style="thick">
        <color rgb="FF7F7F7F"/>
      </left>
      <right style="thin">
        <color theme="0" tint="-0.499984740745262"/>
      </right>
      <top style="thick">
        <color rgb="FF7F7F7F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ck">
        <color rgb="FF7F7F7F"/>
      </top>
      <bottom/>
      <diagonal/>
    </border>
    <border>
      <left style="thin">
        <color theme="0" tint="-0.499984740745262"/>
      </left>
      <right/>
      <top style="thick">
        <color rgb="FF7F7F7F"/>
      </top>
      <bottom/>
      <diagonal/>
    </border>
    <border>
      <left style="thin">
        <color rgb="FF7F7F7F"/>
      </left>
      <right/>
      <top style="thick">
        <color rgb="FF7F7F7F"/>
      </top>
      <bottom/>
      <diagonal/>
    </border>
    <border>
      <left/>
      <right style="thin">
        <color rgb="FF7F7F7F"/>
      </right>
      <top style="thick">
        <color rgb="FF7F7F7F"/>
      </top>
      <bottom/>
      <diagonal/>
    </border>
    <border>
      <left style="thick">
        <color rgb="FF7F7F7F"/>
      </left>
      <right/>
      <top style="thick">
        <color rgb="FF7F7F7F"/>
      </top>
      <bottom/>
      <diagonal/>
    </border>
    <border>
      <left/>
      <right/>
      <top style="thick">
        <color rgb="FF7F7F7F"/>
      </top>
      <bottom/>
      <diagonal/>
    </border>
    <border>
      <left/>
      <right/>
      <top/>
      <bottom style="thick">
        <color rgb="FF7F7F7F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499984740745262"/>
      </left>
      <right style="thick">
        <color rgb="FF7F7F7F"/>
      </right>
      <top style="thick">
        <color rgb="FF7F7F7F"/>
      </top>
      <bottom/>
      <diagonal/>
    </border>
    <border>
      <left style="thick">
        <color rgb="FF7F7F7F"/>
      </left>
      <right style="thin">
        <color rgb="FF7F7F7F"/>
      </right>
      <top/>
      <bottom style="thin">
        <color rgb="FF7F7F7F"/>
      </bottom>
      <diagonal/>
    </border>
    <border>
      <left style="thick">
        <color rgb="FF7F7F7F"/>
      </left>
      <right style="thin">
        <color rgb="FF7F7F7F"/>
      </right>
      <top/>
      <bottom style="thick">
        <color rgb="FF7F7F7F"/>
      </bottom>
      <diagonal/>
    </border>
    <border>
      <left/>
      <right/>
      <top style="thin">
        <color rgb="FF646464"/>
      </top>
      <bottom style="thin">
        <color rgb="FF64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/>
      <bottom/>
      <diagonal/>
    </border>
    <border>
      <left style="thick">
        <color rgb="FF7F7F7F"/>
      </left>
      <right/>
      <top style="thick">
        <color rgb="FF7F7F7F"/>
      </top>
      <bottom style="thin">
        <color rgb="FF7F7F7F"/>
      </bottom>
      <diagonal/>
    </border>
    <border>
      <left style="thick">
        <color rgb="FF7F7F7F"/>
      </left>
      <right/>
      <top style="thin">
        <color rgb="FF7F7F7F"/>
      </top>
      <bottom style="thin">
        <color rgb="FF7F7F7F"/>
      </bottom>
      <diagonal/>
    </border>
    <border>
      <left style="thick">
        <color rgb="FF7F7F7F"/>
      </left>
      <right/>
      <top style="thin">
        <color rgb="FF7F7F7F"/>
      </top>
      <bottom style="thick">
        <color rgb="FF7F7F7F"/>
      </bottom>
      <diagonal/>
    </border>
    <border>
      <left style="medium">
        <color rgb="FF7F7F7F"/>
      </left>
      <right style="thin">
        <color rgb="FF7F7F7F"/>
      </right>
      <top style="medium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7F7F7F"/>
      </right>
      <top style="medium">
        <color rgb="FF7F7F7F"/>
      </top>
      <bottom style="thin">
        <color rgb="FF7F7F7F"/>
      </bottom>
      <diagonal/>
    </border>
    <border>
      <left style="medium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7F7F7F"/>
      </left>
      <right style="thin">
        <color rgb="FF7F7F7F"/>
      </right>
      <top style="thin">
        <color rgb="FF7F7F7F"/>
      </top>
      <bottom style="medium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rgb="FF7F7F7F"/>
      </bottom>
      <diagonal/>
    </border>
    <border>
      <left style="thin">
        <color rgb="FF7F7F7F"/>
      </left>
      <right style="medium">
        <color rgb="FF7F7F7F"/>
      </right>
      <top style="thin">
        <color rgb="FF7F7F7F"/>
      </top>
      <bottom style="medium">
        <color rgb="FF7F7F7F"/>
      </bottom>
      <diagonal/>
    </border>
    <border>
      <left/>
      <right style="thick">
        <color theme="0" tint="-0.499984740745262"/>
      </right>
      <top/>
      <bottom style="thick">
        <color rgb="FF7F7F7F"/>
      </bottom>
      <diagonal/>
    </border>
    <border>
      <left/>
      <right style="thin">
        <color theme="0" tint="-0.499984740745262"/>
      </right>
      <top/>
      <bottom style="thick">
        <color rgb="FF7F7F7F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ck">
        <color rgb="FF7F7F7F"/>
      </bottom>
      <diagonal/>
    </border>
    <border>
      <left style="thin">
        <color theme="0" tint="-0.499984740745262"/>
      </left>
      <right/>
      <top/>
      <bottom style="thick">
        <color rgb="FF7F7F7F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417">
    <xf numFmtId="0" fontId="0" fillId="0" borderId="0" xfId="0"/>
    <xf numFmtId="0" fontId="0" fillId="8" borderId="0" xfId="0" applyFill="1" applyProtection="1">
      <protection hidden="1"/>
    </xf>
    <xf numFmtId="0" fontId="0" fillId="7" borderId="0" xfId="0" applyFill="1" applyProtection="1">
      <protection hidden="1"/>
    </xf>
    <xf numFmtId="0" fontId="1" fillId="14" borderId="53" xfId="0" applyFont="1" applyFill="1" applyBorder="1" applyAlignment="1" applyProtection="1">
      <alignment horizontal="center"/>
      <protection hidden="1"/>
    </xf>
    <xf numFmtId="0" fontId="1" fillId="14" borderId="50" xfId="0" applyFont="1" applyFill="1" applyBorder="1" applyAlignment="1" applyProtection="1">
      <alignment horizontal="center"/>
      <protection hidden="1"/>
    </xf>
    <xf numFmtId="0" fontId="1" fillId="14" borderId="51" xfId="0" applyFont="1" applyFill="1" applyBorder="1" applyAlignment="1" applyProtection="1">
      <alignment horizontal="center" vertical="center"/>
      <protection hidden="1"/>
    </xf>
    <xf numFmtId="0" fontId="0" fillId="7" borderId="0" xfId="0" applyFill="1" applyAlignment="1" applyProtection="1">
      <alignment horizontal="center" vertical="center"/>
      <protection hidden="1"/>
    </xf>
    <xf numFmtId="0" fontId="11" fillId="11" borderId="35" xfId="0" applyFont="1" applyFill="1" applyBorder="1" applyAlignment="1" applyProtection="1">
      <alignment horizontal="center" vertical="center" textRotation="45" wrapText="1"/>
      <protection hidden="1"/>
    </xf>
    <xf numFmtId="0" fontId="1" fillId="8" borderId="0" xfId="0" applyFont="1" applyFill="1" applyBorder="1" applyAlignment="1" applyProtection="1">
      <alignment horizontal="center"/>
      <protection locked="0" hidden="1"/>
    </xf>
    <xf numFmtId="0" fontId="1" fillId="7" borderId="0" xfId="0" applyFont="1" applyFill="1" applyBorder="1" applyAlignment="1" applyProtection="1">
      <alignment horizontal="center"/>
      <protection hidden="1"/>
    </xf>
    <xf numFmtId="1" fontId="0" fillId="13" borderId="42" xfId="0" applyNumberFormat="1" applyFill="1" applyBorder="1" applyAlignment="1" applyProtection="1">
      <alignment horizontal="center"/>
      <protection locked="0" hidden="1"/>
    </xf>
    <xf numFmtId="1" fontId="0" fillId="13" borderId="43" xfId="0" applyNumberFormat="1" applyFill="1" applyBorder="1" applyAlignment="1" applyProtection="1">
      <alignment horizontal="center"/>
      <protection locked="0" hidden="1"/>
    </xf>
    <xf numFmtId="1" fontId="0" fillId="13" borderId="44" xfId="0" applyNumberFormat="1" applyFill="1" applyBorder="1" applyAlignment="1" applyProtection="1">
      <alignment horizontal="center"/>
      <protection locked="0" hidden="1"/>
    </xf>
    <xf numFmtId="1" fontId="0" fillId="8" borderId="0" xfId="0" applyNumberFormat="1" applyFill="1" applyBorder="1" applyAlignment="1" applyProtection="1">
      <alignment horizontal="center"/>
      <protection hidden="1"/>
    </xf>
    <xf numFmtId="164" fontId="0" fillId="7" borderId="0" xfId="0" applyNumberFormat="1" applyFont="1" applyFill="1" applyBorder="1" applyProtection="1">
      <protection hidden="1"/>
    </xf>
    <xf numFmtId="1" fontId="0" fillId="13" borderId="45" xfId="0" applyNumberFormat="1" applyFill="1" applyBorder="1" applyAlignment="1" applyProtection="1">
      <alignment horizontal="center"/>
      <protection locked="0" hidden="1"/>
    </xf>
    <xf numFmtId="1" fontId="0" fillId="13" borderId="34" xfId="0" applyNumberFormat="1" applyFill="1" applyBorder="1" applyAlignment="1" applyProtection="1">
      <alignment horizontal="center"/>
      <protection locked="0" hidden="1"/>
    </xf>
    <xf numFmtId="1" fontId="0" fillId="13" borderId="46" xfId="0" applyNumberFormat="1" applyFill="1" applyBorder="1" applyAlignment="1" applyProtection="1">
      <alignment horizontal="center"/>
      <protection locked="0" hidden="1"/>
    </xf>
    <xf numFmtId="0" fontId="0" fillId="7" borderId="0" xfId="0" applyFill="1" applyBorder="1" applyProtection="1">
      <protection hidden="1"/>
    </xf>
    <xf numFmtId="1" fontId="0" fillId="13" borderId="47" xfId="0" applyNumberFormat="1" applyFill="1" applyBorder="1" applyAlignment="1" applyProtection="1">
      <alignment horizontal="center"/>
      <protection locked="0" hidden="1"/>
    </xf>
    <xf numFmtId="1" fontId="0" fillId="13" borderId="48" xfId="0" applyNumberFormat="1" applyFill="1" applyBorder="1" applyAlignment="1" applyProtection="1">
      <alignment horizontal="center"/>
      <protection locked="0" hidden="1"/>
    </xf>
    <xf numFmtId="1" fontId="0" fillId="13" borderId="49" xfId="0" applyNumberFormat="1" applyFill="1" applyBorder="1" applyAlignment="1" applyProtection="1">
      <alignment horizontal="center"/>
      <protection locked="0" hidden="1"/>
    </xf>
    <xf numFmtId="0" fontId="0" fillId="9" borderId="0" xfId="0" applyFill="1" applyProtection="1">
      <protection hidden="1"/>
    </xf>
    <xf numFmtId="0" fontId="0" fillId="8" borderId="52" xfId="0" applyFill="1" applyBorder="1" applyProtection="1">
      <protection hidden="1"/>
    </xf>
    <xf numFmtId="0" fontId="0" fillId="9" borderId="7" xfId="0" applyFill="1" applyBorder="1" applyProtection="1">
      <protection hidden="1"/>
    </xf>
    <xf numFmtId="0" fontId="0" fillId="0" borderId="42" xfId="0" applyBorder="1" applyAlignment="1" applyProtection="1">
      <alignment horizontal="center" vertical="center"/>
      <protection hidden="1"/>
    </xf>
    <xf numFmtId="0" fontId="0" fillId="0" borderId="43" xfId="0" applyBorder="1" applyAlignment="1" applyProtection="1">
      <alignment horizontal="center" vertical="center"/>
      <protection hidden="1"/>
    </xf>
    <xf numFmtId="0" fontId="0" fillId="0" borderId="44" xfId="0" applyBorder="1" applyAlignment="1" applyProtection="1">
      <alignment horizontal="center" vertical="center"/>
      <protection hidden="1"/>
    </xf>
    <xf numFmtId="0" fontId="0" fillId="0" borderId="45" xfId="0" applyBorder="1" applyAlignment="1" applyProtection="1">
      <alignment horizontal="center" vertical="center"/>
      <protection hidden="1"/>
    </xf>
    <xf numFmtId="0" fontId="0" fillId="0" borderId="34" xfId="0" applyBorder="1" applyAlignment="1" applyProtection="1">
      <alignment horizontal="center" vertical="center"/>
      <protection hidden="1"/>
    </xf>
    <xf numFmtId="0" fontId="0" fillId="0" borderId="46" xfId="0" applyBorder="1" applyAlignment="1" applyProtection="1">
      <alignment horizontal="center" vertical="center"/>
      <protection hidden="1"/>
    </xf>
    <xf numFmtId="1" fontId="0" fillId="8" borderId="0" xfId="0" applyNumberFormat="1" applyFill="1" applyProtection="1">
      <protection hidden="1"/>
    </xf>
    <xf numFmtId="0" fontId="6" fillId="9" borderId="0" xfId="0" applyFont="1" applyFill="1" applyAlignment="1" applyProtection="1">
      <alignment horizontal="center" vertical="center"/>
      <protection hidden="1"/>
    </xf>
    <xf numFmtId="0" fontId="0" fillId="0" borderId="47" xfId="0" applyBorder="1" applyAlignment="1" applyProtection="1">
      <alignment horizontal="center" vertical="center"/>
      <protection hidden="1"/>
    </xf>
    <xf numFmtId="0" fontId="0" fillId="0" borderId="48" xfId="0" applyBorder="1" applyAlignment="1" applyProtection="1">
      <alignment horizontal="center" vertical="center"/>
      <protection hidden="1"/>
    </xf>
    <xf numFmtId="0" fontId="0" fillId="0" borderId="49" xfId="0" applyBorder="1" applyAlignment="1" applyProtection="1">
      <alignment horizontal="center" vertical="center"/>
      <protection hidden="1"/>
    </xf>
    <xf numFmtId="0" fontId="1" fillId="8" borderId="32" xfId="0" applyFont="1" applyFill="1" applyBorder="1" applyAlignment="1" applyProtection="1">
      <alignment horizontal="center"/>
      <protection hidden="1"/>
    </xf>
    <xf numFmtId="0" fontId="11" fillId="11" borderId="13" xfId="0" applyFont="1" applyFill="1" applyBorder="1" applyAlignment="1" applyProtection="1">
      <alignment horizontal="center" vertical="center" textRotation="45" wrapText="1"/>
      <protection hidden="1"/>
    </xf>
    <xf numFmtId="0" fontId="1" fillId="12" borderId="17" xfId="0" applyFont="1" applyFill="1" applyBorder="1" applyAlignment="1" applyProtection="1">
      <alignment horizontal="center"/>
      <protection locked="0" hidden="1"/>
    </xf>
    <xf numFmtId="0" fontId="1" fillId="10" borderId="13" xfId="0" applyFont="1" applyFill="1" applyBorder="1" applyAlignment="1" applyProtection="1">
      <alignment horizontal="center"/>
      <protection hidden="1"/>
    </xf>
    <xf numFmtId="0" fontId="1" fillId="8" borderId="33" xfId="0" applyFont="1" applyFill="1" applyBorder="1" applyAlignment="1" applyProtection="1">
      <alignment horizontal="center"/>
      <protection hidden="1"/>
    </xf>
    <xf numFmtId="165" fontId="0" fillId="8" borderId="0" xfId="0" applyNumberFormat="1" applyFill="1" applyBorder="1" applyAlignment="1" applyProtection="1">
      <alignment horizontal="center"/>
      <protection hidden="1"/>
    </xf>
    <xf numFmtId="0" fontId="1" fillId="12" borderId="25" xfId="0" applyFont="1" applyFill="1" applyBorder="1" applyAlignment="1" applyProtection="1">
      <alignment horizontal="center" vertical="center"/>
      <protection locked="0" hidden="1"/>
    </xf>
    <xf numFmtId="1" fontId="0" fillId="2" borderId="15" xfId="0" applyNumberFormat="1" applyFill="1" applyBorder="1" applyAlignment="1" applyProtection="1">
      <alignment horizontal="center"/>
      <protection hidden="1"/>
    </xf>
    <xf numFmtId="165" fontId="0" fillId="10" borderId="25" xfId="0" applyNumberFormat="1" applyFill="1" applyBorder="1" applyAlignment="1" applyProtection="1">
      <alignment horizontal="center"/>
      <protection hidden="1"/>
    </xf>
    <xf numFmtId="165" fontId="0" fillId="8" borderId="33" xfId="0" applyNumberFormat="1" applyFill="1" applyBorder="1" applyAlignment="1" applyProtection="1">
      <alignment horizontal="center"/>
      <protection hidden="1"/>
    </xf>
    <xf numFmtId="0" fontId="1" fillId="12" borderId="19" xfId="0" applyFont="1" applyFill="1" applyBorder="1" applyAlignment="1" applyProtection="1">
      <alignment horizontal="center" vertical="center"/>
      <protection locked="0" hidden="1"/>
    </xf>
    <xf numFmtId="165" fontId="0" fillId="10" borderId="19" xfId="0" applyNumberFormat="1" applyFill="1" applyBorder="1" applyAlignment="1" applyProtection="1">
      <alignment horizontal="center"/>
      <protection hidden="1"/>
    </xf>
    <xf numFmtId="0" fontId="0" fillId="9" borderId="0" xfId="0" applyFill="1" applyBorder="1" applyProtection="1">
      <protection hidden="1"/>
    </xf>
    <xf numFmtId="0" fontId="1" fillId="12" borderId="24" xfId="0" applyFont="1" applyFill="1" applyBorder="1" applyAlignment="1" applyProtection="1">
      <alignment horizontal="center" vertical="center"/>
      <protection locked="0" hidden="1"/>
    </xf>
    <xf numFmtId="165" fontId="0" fillId="10" borderId="20" xfId="0" applyNumberFormat="1" applyFill="1" applyBorder="1" applyAlignment="1" applyProtection="1">
      <alignment horizontal="center"/>
      <protection hidden="1"/>
    </xf>
    <xf numFmtId="0" fontId="1" fillId="10" borderId="13" xfId="0" applyFont="1" applyFill="1" applyBorder="1" applyAlignment="1" applyProtection="1">
      <alignment horizontal="right" vertical="center"/>
      <protection hidden="1"/>
    </xf>
    <xf numFmtId="165" fontId="0" fillId="10" borderId="23" xfId="0" applyNumberFormat="1" applyFill="1" applyBorder="1" applyAlignment="1" applyProtection="1">
      <alignment horizontal="center"/>
      <protection hidden="1"/>
    </xf>
    <xf numFmtId="165" fontId="0" fillId="10" borderId="17" xfId="0" applyNumberFormat="1" applyFill="1" applyBorder="1" applyAlignment="1" applyProtection="1">
      <alignment horizontal="center"/>
      <protection hidden="1"/>
    </xf>
    <xf numFmtId="165" fontId="0" fillId="10" borderId="18" xfId="0" applyNumberFormat="1" applyFill="1" applyBorder="1" applyAlignment="1" applyProtection="1">
      <alignment horizontal="center"/>
      <protection hidden="1"/>
    </xf>
    <xf numFmtId="0" fontId="0" fillId="7" borderId="10" xfId="0" applyFill="1" applyBorder="1" applyProtection="1">
      <protection hidden="1"/>
    </xf>
    <xf numFmtId="1" fontId="0" fillId="8" borderId="0" xfId="0" applyNumberFormat="1" applyFill="1" applyBorder="1" applyProtection="1">
      <protection hidden="1"/>
    </xf>
    <xf numFmtId="1" fontId="0" fillId="9" borderId="0" xfId="0" applyNumberFormat="1" applyFill="1" applyBorder="1" applyProtection="1">
      <protection hidden="1"/>
    </xf>
    <xf numFmtId="0" fontId="0" fillId="8" borderId="0" xfId="0" applyFill="1" applyBorder="1" applyProtection="1">
      <protection hidden="1"/>
    </xf>
    <xf numFmtId="0" fontId="7" fillId="9" borderId="0" xfId="0" applyFont="1" applyFill="1" applyBorder="1" applyAlignment="1" applyProtection="1">
      <protection hidden="1"/>
    </xf>
    <xf numFmtId="1" fontId="1" fillId="10" borderId="9" xfId="0" applyNumberFormat="1" applyFont="1" applyFill="1" applyBorder="1" applyAlignment="1" applyProtection="1">
      <alignment horizontal="center"/>
      <protection hidden="1"/>
    </xf>
    <xf numFmtId="0" fontId="1" fillId="9" borderId="0" xfId="0" applyFont="1" applyFill="1" applyBorder="1" applyAlignment="1" applyProtection="1">
      <alignment horizontal="center"/>
      <protection hidden="1"/>
    </xf>
    <xf numFmtId="0" fontId="6" fillId="9" borderId="0" xfId="0" applyFont="1" applyFill="1" applyBorder="1" applyProtection="1">
      <protection hidden="1"/>
    </xf>
    <xf numFmtId="0" fontId="1" fillId="9" borderId="0" xfId="0" applyFont="1" applyFill="1" applyBorder="1" applyAlignment="1" applyProtection="1">
      <protection hidden="1"/>
    </xf>
    <xf numFmtId="0" fontId="0" fillId="9" borderId="28" xfId="0" applyFill="1" applyBorder="1" applyProtection="1">
      <protection hidden="1"/>
    </xf>
    <xf numFmtId="2" fontId="1" fillId="10" borderId="9" xfId="0" applyNumberFormat="1" applyFont="1" applyFill="1" applyBorder="1" applyAlignment="1" applyProtection="1">
      <alignment horizontal="center"/>
      <protection hidden="1"/>
    </xf>
    <xf numFmtId="0" fontId="0" fillId="5" borderId="3" xfId="0" applyFill="1" applyBorder="1" applyProtection="1">
      <protection hidden="1"/>
    </xf>
    <xf numFmtId="0" fontId="0" fillId="5" borderId="2" xfId="0" applyFill="1" applyBorder="1" applyProtection="1">
      <protection hidden="1"/>
    </xf>
    <xf numFmtId="0" fontId="0" fillId="5" borderId="6" xfId="0" applyFill="1" applyBorder="1" applyProtection="1">
      <protection hidden="1"/>
    </xf>
    <xf numFmtId="0" fontId="0" fillId="5" borderId="4" xfId="0" applyFill="1" applyBorder="1" applyProtection="1">
      <protection hidden="1"/>
    </xf>
    <xf numFmtId="0" fontId="0" fillId="5" borderId="7" xfId="0" applyFill="1" applyBorder="1" applyProtection="1">
      <protection hidden="1"/>
    </xf>
    <xf numFmtId="0" fontId="0" fillId="4" borderId="0" xfId="0" applyFill="1" applyBorder="1" applyProtection="1">
      <protection hidden="1"/>
    </xf>
    <xf numFmtId="0" fontId="0" fillId="5" borderId="5" xfId="0" applyFill="1" applyBorder="1" applyProtection="1">
      <protection hidden="1"/>
    </xf>
    <xf numFmtId="0" fontId="0" fillId="5" borderId="8" xfId="0" applyFill="1" applyBorder="1" applyProtection="1">
      <protection hidden="1"/>
    </xf>
    <xf numFmtId="0" fontId="1" fillId="13" borderId="39" xfId="0" applyFont="1" applyFill="1" applyBorder="1" applyAlignment="1" applyProtection="1">
      <alignment horizontal="center" vertical="center"/>
      <protection locked="0" hidden="1"/>
    </xf>
    <xf numFmtId="0" fontId="1" fillId="13" borderId="40" xfId="0" applyFont="1" applyFill="1" applyBorder="1" applyAlignment="1" applyProtection="1">
      <alignment horizontal="center" vertical="center"/>
      <protection locked="0" hidden="1"/>
    </xf>
    <xf numFmtId="0" fontId="1" fillId="13" borderId="41" xfId="0" applyFont="1" applyFill="1" applyBorder="1" applyAlignment="1" applyProtection="1">
      <alignment horizontal="center" vertical="center"/>
      <protection locked="0" hidden="1"/>
    </xf>
    <xf numFmtId="0" fontId="1" fillId="14" borderId="57" xfId="0" applyFont="1" applyFill="1" applyBorder="1" applyAlignment="1" applyProtection="1">
      <alignment horizontal="center" vertical="center"/>
      <protection hidden="1"/>
    </xf>
    <xf numFmtId="0" fontId="1" fillId="14" borderId="58" xfId="0" applyFont="1" applyFill="1" applyBorder="1" applyAlignment="1" applyProtection="1">
      <alignment horizontal="center" vertical="center"/>
      <protection hidden="1"/>
    </xf>
    <xf numFmtId="0" fontId="1" fillId="14" borderId="59" xfId="0" applyFont="1" applyFill="1" applyBorder="1" applyAlignment="1" applyProtection="1">
      <alignment horizontal="center"/>
      <protection hidden="1"/>
    </xf>
    <xf numFmtId="0" fontId="11" fillId="11" borderId="66" xfId="0" applyFont="1" applyFill="1" applyBorder="1" applyAlignment="1" applyProtection="1">
      <alignment horizontal="center" vertical="center" textRotation="45" wrapText="1"/>
      <protection hidden="1"/>
    </xf>
    <xf numFmtId="0" fontId="0" fillId="7" borderId="0" xfId="0" applyFill="1" applyAlignment="1" applyProtection="1">
      <protection hidden="1"/>
    </xf>
    <xf numFmtId="0" fontId="14" fillId="7" borderId="0" xfId="0" applyFont="1" applyFill="1" applyAlignment="1" applyProtection="1">
      <alignment horizontal="center" vertical="top"/>
      <protection hidden="1"/>
    </xf>
    <xf numFmtId="0" fontId="13" fillId="7" borderId="0" xfId="0" applyFont="1" applyFill="1" applyAlignment="1" applyProtection="1">
      <alignment horizontal="center" vertical="top"/>
      <protection hidden="1"/>
    </xf>
    <xf numFmtId="164" fontId="0" fillId="14" borderId="60" xfId="0" applyNumberFormat="1" applyFont="1" applyFill="1" applyBorder="1" applyAlignment="1" applyProtection="1">
      <alignment horizontal="center" vertical="center"/>
      <protection hidden="1"/>
    </xf>
    <xf numFmtId="164" fontId="0" fillId="14" borderId="43" xfId="0" applyNumberFormat="1" applyFont="1" applyFill="1" applyBorder="1" applyAlignment="1" applyProtection="1">
      <alignment horizontal="center" vertical="center"/>
      <protection hidden="1"/>
    </xf>
    <xf numFmtId="164" fontId="0" fillId="14" borderId="61" xfId="0" applyNumberFormat="1" applyFont="1" applyFill="1" applyBorder="1" applyAlignment="1" applyProtection="1">
      <alignment horizontal="center" vertical="center"/>
      <protection hidden="1"/>
    </xf>
    <xf numFmtId="164" fontId="0" fillId="14" borderId="54" xfId="0" applyNumberFormat="1" applyFont="1" applyFill="1" applyBorder="1" applyAlignment="1" applyProtection="1">
      <alignment horizontal="center" vertical="center"/>
      <protection hidden="1"/>
    </xf>
    <xf numFmtId="164" fontId="0" fillId="14" borderId="55" xfId="0" applyNumberFormat="1" applyFont="1" applyFill="1" applyBorder="1" applyAlignment="1" applyProtection="1">
      <alignment horizontal="center" vertical="center"/>
      <protection hidden="1"/>
    </xf>
    <xf numFmtId="164" fontId="0" fillId="14" borderId="62" xfId="0" applyNumberFormat="1" applyFont="1" applyFill="1" applyBorder="1" applyAlignment="1" applyProtection="1">
      <alignment horizontal="center" vertical="center"/>
      <protection hidden="1"/>
    </xf>
    <xf numFmtId="164" fontId="0" fillId="14" borderId="63" xfId="0" applyNumberFormat="1" applyFont="1" applyFill="1" applyBorder="1" applyAlignment="1" applyProtection="1">
      <alignment horizontal="center" vertical="center"/>
      <protection hidden="1"/>
    </xf>
    <xf numFmtId="164" fontId="0" fillId="14" borderId="64" xfId="0" applyNumberFormat="1" applyFont="1" applyFill="1" applyBorder="1" applyAlignment="1" applyProtection="1">
      <alignment horizontal="center" vertical="center"/>
      <protection hidden="1"/>
    </xf>
    <xf numFmtId="164" fontId="0" fillId="14" borderId="65" xfId="0" applyNumberFormat="1" applyFont="1" applyFill="1" applyBorder="1" applyAlignment="1" applyProtection="1">
      <alignment horizontal="center" vertical="center"/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1" fillId="13" borderId="37" xfId="0" applyFont="1" applyFill="1" applyBorder="1" applyAlignment="1" applyProtection="1">
      <alignment horizontal="center"/>
      <protection locked="0" hidden="1"/>
    </xf>
    <xf numFmtId="0" fontId="1" fillId="14" borderId="38" xfId="0" applyFont="1" applyFill="1" applyBorder="1" applyAlignment="1" applyProtection="1">
      <alignment horizontal="center"/>
      <protection hidden="1"/>
    </xf>
    <xf numFmtId="0" fontId="1" fillId="14" borderId="36" xfId="0" applyFont="1" applyFill="1" applyBorder="1" applyAlignment="1" applyProtection="1">
      <alignment horizontal="center"/>
      <protection hidden="1"/>
    </xf>
    <xf numFmtId="0" fontId="1" fillId="14" borderId="23" xfId="0" applyFont="1" applyFill="1" applyBorder="1" applyAlignment="1" applyProtection="1">
      <alignment horizontal="center"/>
      <protection hidden="1"/>
    </xf>
    <xf numFmtId="0" fontId="1" fillId="14" borderId="27" xfId="0" applyFont="1" applyFill="1" applyBorder="1" applyAlignment="1" applyProtection="1">
      <alignment horizontal="center"/>
      <protection hidden="1"/>
    </xf>
    <xf numFmtId="0" fontId="0" fillId="5" borderId="0" xfId="0" applyFill="1" applyBorder="1" applyProtection="1">
      <protection hidden="1"/>
    </xf>
    <xf numFmtId="0" fontId="0" fillId="16" borderId="0" xfId="0" applyFill="1" applyProtection="1">
      <protection hidden="1"/>
    </xf>
    <xf numFmtId="0" fontId="0" fillId="17" borderId="0" xfId="0" applyFill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7" fillId="9" borderId="0" xfId="0" applyFont="1" applyFill="1" applyAlignment="1" applyProtection="1">
      <protection hidden="1"/>
    </xf>
    <xf numFmtId="0" fontId="1" fillId="11" borderId="67" xfId="0" applyFont="1" applyFill="1" applyBorder="1" applyAlignment="1" applyProtection="1">
      <alignment horizontal="center" vertical="center"/>
      <protection hidden="1"/>
    </xf>
    <xf numFmtId="1" fontId="0" fillId="0" borderId="53" xfId="0" applyNumberFormat="1" applyBorder="1" applyAlignment="1" applyProtection="1">
      <alignment horizontal="center" vertical="center"/>
      <protection hidden="1"/>
    </xf>
    <xf numFmtId="1" fontId="0" fillId="0" borderId="50" xfId="0" applyNumberFormat="1" applyBorder="1" applyAlignment="1" applyProtection="1">
      <alignment horizontal="center" vertical="center"/>
      <protection hidden="1"/>
    </xf>
    <xf numFmtId="0" fontId="0" fillId="5" borderId="1" xfId="0" applyFill="1" applyBorder="1" applyProtection="1">
      <protection hidden="1"/>
    </xf>
    <xf numFmtId="0" fontId="7" fillId="7" borderId="0" xfId="0" applyFont="1" applyFill="1" applyAlignment="1" applyProtection="1">
      <protection hidden="1"/>
    </xf>
    <xf numFmtId="0" fontId="1" fillId="13" borderId="51" xfId="0" applyFont="1" applyFill="1" applyBorder="1" applyAlignment="1" applyProtection="1">
      <alignment horizontal="center" vertical="center"/>
      <protection locked="0" hidden="1"/>
    </xf>
    <xf numFmtId="0" fontId="1" fillId="13" borderId="57" xfId="0" applyFont="1" applyFill="1" applyBorder="1" applyAlignment="1" applyProtection="1">
      <alignment horizontal="center" vertical="center"/>
      <protection locked="0" hidden="1"/>
    </xf>
    <xf numFmtId="0" fontId="1" fillId="13" borderId="58" xfId="0" applyFont="1" applyFill="1" applyBorder="1" applyAlignment="1" applyProtection="1">
      <alignment horizontal="center" vertical="center"/>
      <protection locked="0" hidden="1"/>
    </xf>
    <xf numFmtId="0" fontId="0" fillId="8" borderId="56" xfId="0" applyFill="1" applyBorder="1" applyProtection="1">
      <protection hidden="1"/>
    </xf>
    <xf numFmtId="0" fontId="1" fillId="13" borderId="59" xfId="0" applyFont="1" applyFill="1" applyBorder="1" applyAlignment="1" applyProtection="1">
      <alignment horizontal="center"/>
      <protection locked="0" hidden="1"/>
    </xf>
    <xf numFmtId="0" fontId="1" fillId="13" borderId="53" xfId="0" applyFont="1" applyFill="1" applyBorder="1" applyAlignment="1" applyProtection="1">
      <alignment horizontal="center"/>
      <protection locked="0" hidden="1"/>
    </xf>
    <xf numFmtId="0" fontId="1" fillId="13" borderId="50" xfId="0" applyFont="1" applyFill="1" applyBorder="1" applyAlignment="1" applyProtection="1">
      <alignment horizontal="center"/>
      <protection locked="0" hidden="1"/>
    </xf>
    <xf numFmtId="0" fontId="11" fillId="11" borderId="67" xfId="0" applyFont="1" applyFill="1" applyBorder="1" applyAlignment="1" applyProtection="1">
      <alignment horizontal="center" vertical="center" textRotation="45" wrapText="1"/>
      <protection hidden="1"/>
    </xf>
    <xf numFmtId="0" fontId="1" fillId="18" borderId="66" xfId="0" applyFont="1" applyFill="1" applyBorder="1" applyAlignment="1" applyProtection="1">
      <alignment horizontal="center" vertical="center"/>
      <protection hidden="1"/>
    </xf>
    <xf numFmtId="0" fontId="1" fillId="18" borderId="57" xfId="0" applyFont="1" applyFill="1" applyBorder="1" applyAlignment="1" applyProtection="1">
      <alignment horizontal="center" vertical="center"/>
      <protection hidden="1"/>
    </xf>
    <xf numFmtId="0" fontId="1" fillId="18" borderId="58" xfId="0" applyFont="1" applyFill="1" applyBorder="1" applyAlignment="1" applyProtection="1">
      <alignment horizontal="center" vertical="center"/>
      <protection hidden="1"/>
    </xf>
    <xf numFmtId="1" fontId="0" fillId="0" borderId="42" xfId="0" applyNumberFormat="1" applyBorder="1" applyAlignment="1" applyProtection="1">
      <alignment horizontal="center" vertical="center"/>
      <protection hidden="1"/>
    </xf>
    <xf numFmtId="1" fontId="0" fillId="0" borderId="43" xfId="0" applyNumberFormat="1" applyBorder="1" applyAlignment="1" applyProtection="1">
      <alignment horizontal="center" vertical="center"/>
      <protection hidden="1"/>
    </xf>
    <xf numFmtId="1" fontId="0" fillId="0" borderId="44" xfId="0" applyNumberFormat="1" applyBorder="1" applyAlignment="1" applyProtection="1">
      <alignment horizontal="center" vertical="center"/>
      <protection hidden="1"/>
    </xf>
    <xf numFmtId="1" fontId="0" fillId="0" borderId="45" xfId="0" applyNumberFormat="1" applyBorder="1" applyAlignment="1" applyProtection="1">
      <alignment horizontal="center" vertical="center"/>
      <protection hidden="1"/>
    </xf>
    <xf numFmtId="1" fontId="0" fillId="0" borderId="34" xfId="0" applyNumberFormat="1" applyBorder="1" applyAlignment="1" applyProtection="1">
      <alignment horizontal="center" vertical="center"/>
      <protection hidden="1"/>
    </xf>
    <xf numFmtId="1" fontId="0" fillId="0" borderId="46" xfId="0" applyNumberFormat="1" applyBorder="1" applyAlignment="1" applyProtection="1">
      <alignment horizontal="center" vertical="center"/>
      <protection hidden="1"/>
    </xf>
    <xf numFmtId="1" fontId="0" fillId="0" borderId="47" xfId="0" applyNumberFormat="1" applyBorder="1" applyAlignment="1" applyProtection="1">
      <alignment horizontal="center" vertical="center"/>
      <protection hidden="1"/>
    </xf>
    <xf numFmtId="1" fontId="0" fillId="0" borderId="48" xfId="0" applyNumberFormat="1" applyBorder="1" applyAlignment="1" applyProtection="1">
      <alignment horizontal="center" vertical="center"/>
      <protection hidden="1"/>
    </xf>
    <xf numFmtId="1" fontId="0" fillId="0" borderId="49" xfId="0" applyNumberFormat="1" applyBorder="1" applyAlignment="1" applyProtection="1">
      <alignment horizontal="center" vertical="center"/>
      <protection hidden="1"/>
    </xf>
    <xf numFmtId="0" fontId="1" fillId="18" borderId="68" xfId="0" applyFont="1" applyFill="1" applyBorder="1" applyAlignment="1" applyProtection="1">
      <alignment horizontal="center"/>
      <protection hidden="1"/>
    </xf>
    <xf numFmtId="0" fontId="1" fillId="18" borderId="69" xfId="0" applyFont="1" applyFill="1" applyBorder="1" applyAlignment="1" applyProtection="1">
      <alignment horizontal="center"/>
      <protection hidden="1"/>
    </xf>
    <xf numFmtId="0" fontId="1" fillId="18" borderId="70" xfId="0" applyFont="1" applyFill="1" applyBorder="1" applyAlignment="1" applyProtection="1">
      <alignment horizontal="center"/>
      <protection hidden="1"/>
    </xf>
    <xf numFmtId="0" fontId="1" fillId="12" borderId="71" xfId="0" applyFont="1" applyFill="1" applyBorder="1" applyAlignment="1" applyProtection="1">
      <alignment horizontal="center"/>
      <protection locked="0" hidden="1"/>
    </xf>
    <xf numFmtId="0" fontId="1" fillId="12" borderId="72" xfId="0" applyFont="1" applyFill="1" applyBorder="1" applyAlignment="1" applyProtection="1">
      <alignment horizontal="center"/>
      <protection locked="0" hidden="1"/>
    </xf>
    <xf numFmtId="0" fontId="1" fillId="12" borderId="73" xfId="0" applyFont="1" applyFill="1" applyBorder="1" applyAlignment="1" applyProtection="1">
      <alignment horizontal="center"/>
      <protection locked="0" hidden="1"/>
    </xf>
    <xf numFmtId="0" fontId="1" fillId="12" borderId="74" xfId="0" applyFont="1" applyFill="1" applyBorder="1" applyAlignment="1" applyProtection="1">
      <alignment horizontal="center"/>
      <protection locked="0" hidden="1"/>
    </xf>
    <xf numFmtId="0" fontId="1" fillId="12" borderId="69" xfId="0" applyFont="1" applyFill="1" applyBorder="1" applyAlignment="1" applyProtection="1">
      <alignment horizontal="center"/>
      <protection locked="0" hidden="1"/>
    </xf>
    <xf numFmtId="0" fontId="1" fillId="12" borderId="75" xfId="0" applyFont="1" applyFill="1" applyBorder="1" applyAlignment="1" applyProtection="1">
      <alignment horizontal="center"/>
      <protection locked="0" hidden="1"/>
    </xf>
    <xf numFmtId="0" fontId="1" fillId="12" borderId="70" xfId="0" applyFont="1" applyFill="1" applyBorder="1" applyAlignment="1" applyProtection="1">
      <alignment horizontal="center"/>
      <protection locked="0" hidden="1"/>
    </xf>
    <xf numFmtId="1" fontId="0" fillId="0" borderId="59" xfId="0" applyNumberFormat="1" applyBorder="1" applyAlignment="1" applyProtection="1">
      <alignment horizontal="center" vertical="center"/>
      <protection hidden="1"/>
    </xf>
    <xf numFmtId="1" fontId="0" fillId="13" borderId="15" xfId="0" applyNumberFormat="1" applyFill="1" applyBorder="1" applyAlignment="1" applyProtection="1">
      <alignment horizontal="center"/>
      <protection hidden="1"/>
    </xf>
    <xf numFmtId="1" fontId="0" fillId="13" borderId="26" xfId="0" applyNumberFormat="1" applyFill="1" applyBorder="1" applyAlignment="1" applyProtection="1">
      <alignment horizontal="center"/>
      <protection hidden="1"/>
    </xf>
    <xf numFmtId="1" fontId="0" fillId="13" borderId="29" xfId="0" applyNumberFormat="1" applyFill="1" applyBorder="1" applyAlignment="1" applyProtection="1">
      <alignment horizontal="center"/>
      <protection hidden="1"/>
    </xf>
    <xf numFmtId="1" fontId="0" fillId="13" borderId="21" xfId="0" applyNumberFormat="1" applyFill="1" applyBorder="1" applyAlignment="1" applyProtection="1">
      <alignment horizontal="center"/>
      <protection hidden="1"/>
    </xf>
    <xf numFmtId="1" fontId="0" fillId="13" borderId="14" xfId="0" applyNumberFormat="1" applyFill="1" applyBorder="1" applyAlignment="1" applyProtection="1">
      <alignment horizontal="center"/>
      <protection hidden="1"/>
    </xf>
    <xf numFmtId="1" fontId="0" fillId="13" borderId="30" xfId="0" applyNumberFormat="1" applyFill="1" applyBorder="1" applyAlignment="1" applyProtection="1">
      <alignment horizontal="center"/>
      <protection hidden="1"/>
    </xf>
    <xf numFmtId="1" fontId="0" fillId="13" borderId="22" xfId="0" applyNumberFormat="1" applyFill="1" applyBorder="1" applyAlignment="1" applyProtection="1">
      <alignment horizontal="center"/>
      <protection hidden="1"/>
    </xf>
    <xf numFmtId="1" fontId="0" fillId="13" borderId="16" xfId="0" applyNumberFormat="1" applyFill="1" applyBorder="1" applyAlignment="1" applyProtection="1">
      <alignment horizontal="center"/>
      <protection hidden="1"/>
    </xf>
    <xf numFmtId="1" fontId="0" fillId="13" borderId="31" xfId="0" applyNumberFormat="1" applyFill="1" applyBorder="1" applyAlignment="1" applyProtection="1">
      <alignment horizontal="center"/>
      <protection hidden="1"/>
    </xf>
    <xf numFmtId="0" fontId="1" fillId="8" borderId="0" xfId="0" applyFont="1" applyFill="1" applyBorder="1" applyAlignment="1" applyProtection="1">
      <alignment horizontal="center"/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7" fillId="9" borderId="0" xfId="0" applyFont="1" applyFill="1" applyAlignment="1" applyProtection="1">
      <protection hidden="1"/>
    </xf>
    <xf numFmtId="0" fontId="0" fillId="8" borderId="0" xfId="0" applyFill="1" applyAlignment="1" applyProtection="1">
      <alignment vertical="center"/>
      <protection hidden="1"/>
    </xf>
    <xf numFmtId="0" fontId="7" fillId="9" borderId="0" xfId="0" applyFont="1" applyFill="1" applyBorder="1" applyAlignment="1" applyProtection="1">
      <alignment horizontal="left" vertical="center"/>
      <protection hidden="1"/>
    </xf>
    <xf numFmtId="0" fontId="7" fillId="9" borderId="0" xfId="0" applyFont="1" applyFill="1" applyBorder="1" applyAlignment="1" applyProtection="1">
      <alignment horizontal="right"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7" fillId="7" borderId="0" xfId="0" applyFont="1" applyFill="1" applyBorder="1" applyAlignment="1" applyProtection="1">
      <alignment horizontal="right" vertical="center"/>
      <protection hidden="1"/>
    </xf>
    <xf numFmtId="0" fontId="23" fillId="8" borderId="0" xfId="0" applyFont="1" applyFill="1" applyAlignment="1" applyProtection="1">
      <alignment vertical="center"/>
      <protection hidden="1"/>
    </xf>
    <xf numFmtId="0" fontId="7" fillId="9" borderId="0" xfId="0" applyFont="1" applyFill="1" applyAlignment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1" fontId="26" fillId="5" borderId="0" xfId="0" applyNumberFormat="1" applyFont="1" applyFill="1" applyBorder="1" applyAlignment="1" applyProtection="1">
      <alignment horizontal="center" vertical="center"/>
      <protection hidden="1"/>
    </xf>
    <xf numFmtId="1" fontId="25" fillId="5" borderId="0" xfId="0" applyNumberFormat="1" applyFont="1" applyFill="1" applyBorder="1" applyAlignment="1" applyProtection="1">
      <alignment horizontal="center" vertical="center"/>
      <protection hidden="1"/>
    </xf>
    <xf numFmtId="1" fontId="26" fillId="5" borderId="77" xfId="0" applyNumberFormat="1" applyFont="1" applyFill="1" applyBorder="1" applyAlignment="1" applyProtection="1">
      <alignment horizontal="center" vertical="center"/>
      <protection hidden="1"/>
    </xf>
    <xf numFmtId="1" fontId="25" fillId="5" borderId="77" xfId="0" applyNumberFormat="1" applyFont="1" applyFill="1" applyBorder="1" applyAlignment="1" applyProtection="1">
      <alignment horizontal="center" vertical="center"/>
      <protection hidden="1"/>
    </xf>
    <xf numFmtId="0" fontId="1" fillId="12" borderId="79" xfId="0" applyFont="1" applyFill="1" applyBorder="1" applyAlignment="1" applyProtection="1">
      <alignment horizontal="center" vertical="center"/>
      <protection locked="0" hidden="1"/>
    </xf>
    <xf numFmtId="1" fontId="1" fillId="14" borderId="53" xfId="0" applyNumberFormat="1" applyFont="1" applyFill="1" applyBorder="1" applyAlignment="1" applyProtection="1">
      <alignment horizontal="center"/>
      <protection hidden="1"/>
    </xf>
    <xf numFmtId="1" fontId="1" fillId="14" borderId="50" xfId="0" applyNumberFormat="1" applyFont="1" applyFill="1" applyBorder="1" applyAlignment="1" applyProtection="1">
      <alignment horizontal="center"/>
      <protection hidden="1"/>
    </xf>
    <xf numFmtId="1" fontId="1" fillId="14" borderId="59" xfId="0" applyNumberFormat="1" applyFont="1" applyFill="1" applyBorder="1" applyAlignment="1" applyProtection="1">
      <alignment horizontal="center"/>
      <protection hidden="1"/>
    </xf>
    <xf numFmtId="0" fontId="11" fillId="11" borderId="76" xfId="0" applyFont="1" applyFill="1" applyBorder="1" applyAlignment="1" applyProtection="1">
      <alignment horizontal="center" vertical="center" textRotation="45" wrapText="1"/>
      <protection hidden="1"/>
    </xf>
    <xf numFmtId="1" fontId="1" fillId="13" borderId="59" xfId="0" applyNumberFormat="1" applyFont="1" applyFill="1" applyBorder="1" applyAlignment="1" applyProtection="1">
      <alignment horizontal="center"/>
      <protection locked="0" hidden="1"/>
    </xf>
    <xf numFmtId="1" fontId="1" fillId="13" borderId="53" xfId="0" applyNumberFormat="1" applyFont="1" applyFill="1" applyBorder="1" applyAlignment="1" applyProtection="1">
      <alignment horizontal="center"/>
      <protection locked="0" hidden="1"/>
    </xf>
    <xf numFmtId="1" fontId="1" fillId="13" borderId="50" xfId="0" applyNumberFormat="1" applyFont="1" applyFill="1" applyBorder="1" applyAlignment="1" applyProtection="1">
      <alignment horizontal="center"/>
      <protection locked="0" hidden="1"/>
    </xf>
    <xf numFmtId="1" fontId="27" fillId="13" borderId="51" xfId="0" applyNumberFormat="1" applyFont="1" applyFill="1" applyBorder="1" applyAlignment="1" applyProtection="1">
      <alignment horizontal="center" vertical="center"/>
      <protection locked="0" hidden="1"/>
    </xf>
    <xf numFmtId="1" fontId="27" fillId="13" borderId="57" xfId="0" applyNumberFormat="1" applyFont="1" applyFill="1" applyBorder="1" applyAlignment="1" applyProtection="1">
      <alignment horizontal="center" vertical="center"/>
      <protection locked="0" hidden="1"/>
    </xf>
    <xf numFmtId="1" fontId="27" fillId="13" borderId="58" xfId="0" applyNumberFormat="1" applyFont="1" applyFill="1" applyBorder="1" applyAlignment="1" applyProtection="1">
      <alignment horizontal="center" vertical="center"/>
      <protection locked="0" hidden="1"/>
    </xf>
    <xf numFmtId="1" fontId="1" fillId="13" borderId="51" xfId="0" applyNumberFormat="1" applyFont="1" applyFill="1" applyBorder="1" applyAlignment="1" applyProtection="1">
      <alignment horizontal="center" vertical="center"/>
      <protection locked="0" hidden="1"/>
    </xf>
    <xf numFmtId="1" fontId="1" fillId="13" borderId="57" xfId="0" applyNumberFormat="1" applyFont="1" applyFill="1" applyBorder="1" applyAlignment="1" applyProtection="1">
      <alignment horizontal="center" vertical="center"/>
      <protection locked="0" hidden="1"/>
    </xf>
    <xf numFmtId="1" fontId="1" fillId="13" borderId="58" xfId="0" applyNumberFormat="1" applyFont="1" applyFill="1" applyBorder="1" applyAlignment="1" applyProtection="1">
      <alignment horizontal="center" vertical="center"/>
      <protection locked="0" hidden="1"/>
    </xf>
    <xf numFmtId="0" fontId="7" fillId="9" borderId="0" xfId="0" applyFont="1" applyFill="1" applyAlignment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1" fillId="13" borderId="71" xfId="0" applyFont="1" applyFill="1" applyBorder="1" applyAlignment="1" applyProtection="1">
      <alignment horizontal="center"/>
      <protection locked="0" hidden="1"/>
    </xf>
    <xf numFmtId="0" fontId="1" fillId="13" borderId="72" xfId="0" applyFont="1" applyFill="1" applyBorder="1" applyAlignment="1" applyProtection="1">
      <alignment horizontal="center"/>
      <protection locked="0" hidden="1"/>
    </xf>
    <xf numFmtId="0" fontId="1" fillId="13" borderId="82" xfId="0" applyFont="1" applyFill="1" applyBorder="1" applyAlignment="1" applyProtection="1">
      <alignment horizontal="center"/>
      <protection locked="0" hidden="1"/>
    </xf>
    <xf numFmtId="0" fontId="7" fillId="9" borderId="0" xfId="0" applyFont="1" applyFill="1" applyAlignment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28" fillId="8" borderId="0" xfId="0" applyFont="1" applyFill="1" applyProtection="1">
      <protection hidden="1"/>
    </xf>
    <xf numFmtId="0" fontId="1" fillId="12" borderId="9" xfId="0" applyFont="1" applyFill="1" applyBorder="1" applyAlignment="1" applyProtection="1">
      <alignment horizontal="center" vertical="center"/>
      <protection locked="0" hidden="1"/>
    </xf>
    <xf numFmtId="167" fontId="0" fillId="14" borderId="42" xfId="0" applyNumberFormat="1" applyFill="1" applyBorder="1" applyAlignment="1" applyProtection="1">
      <alignment horizontal="center" vertical="center"/>
      <protection hidden="1"/>
    </xf>
    <xf numFmtId="167" fontId="0" fillId="14" borderId="43" xfId="0" applyNumberFormat="1" applyFill="1" applyBorder="1" applyAlignment="1" applyProtection="1">
      <alignment horizontal="center"/>
      <protection hidden="1"/>
    </xf>
    <xf numFmtId="167" fontId="0" fillId="14" borderId="44" xfId="0" applyNumberFormat="1" applyFill="1" applyBorder="1" applyAlignment="1" applyProtection="1">
      <alignment horizontal="center"/>
      <protection hidden="1"/>
    </xf>
    <xf numFmtId="167" fontId="0" fillId="14" borderId="83" xfId="0" applyNumberFormat="1" applyFill="1" applyBorder="1" applyAlignment="1" applyProtection="1">
      <alignment horizontal="center"/>
      <protection hidden="1"/>
    </xf>
    <xf numFmtId="167" fontId="0" fillId="14" borderId="34" xfId="0" applyNumberFormat="1" applyFill="1" applyBorder="1" applyAlignment="1" applyProtection="1">
      <alignment horizontal="center"/>
      <protection hidden="1"/>
    </xf>
    <xf numFmtId="167" fontId="0" fillId="14" borderId="46" xfId="0" applyNumberFormat="1" applyFill="1" applyBorder="1" applyAlignment="1" applyProtection="1">
      <alignment horizontal="center"/>
      <protection hidden="1"/>
    </xf>
    <xf numFmtId="167" fontId="0" fillId="14" borderId="45" xfId="0" applyNumberFormat="1" applyFill="1" applyBorder="1" applyAlignment="1" applyProtection="1">
      <alignment horizontal="center"/>
      <protection hidden="1"/>
    </xf>
    <xf numFmtId="167" fontId="0" fillId="14" borderId="47" xfId="0" applyNumberFormat="1" applyFill="1" applyBorder="1" applyAlignment="1" applyProtection="1">
      <alignment horizontal="center"/>
      <protection hidden="1"/>
    </xf>
    <xf numFmtId="167" fontId="0" fillId="14" borderId="48" xfId="0" applyNumberFormat="1" applyFill="1" applyBorder="1" applyAlignment="1" applyProtection="1">
      <alignment horizontal="center"/>
      <protection hidden="1"/>
    </xf>
    <xf numFmtId="167" fontId="0" fillId="14" borderId="49" xfId="0" applyNumberFormat="1" applyFill="1" applyBorder="1" applyAlignment="1" applyProtection="1">
      <alignment horizontal="center"/>
      <protection hidden="1"/>
    </xf>
    <xf numFmtId="0" fontId="6" fillId="8" borderId="0" xfId="0" applyFont="1" applyFill="1" applyAlignment="1" applyProtection="1">
      <alignment horizontal="center" vertical="center"/>
      <protection hidden="1"/>
    </xf>
    <xf numFmtId="0" fontId="7" fillId="8" borderId="0" xfId="0" applyFont="1" applyFill="1" applyAlignment="1" applyProtection="1">
      <protection hidden="1"/>
    </xf>
    <xf numFmtId="49" fontId="29" fillId="8" borderId="0" xfId="0" applyNumberFormat="1" applyFont="1" applyFill="1" applyAlignment="1" applyProtection="1">
      <alignment horizontal="right" vertical="center"/>
      <protection hidden="1"/>
    </xf>
    <xf numFmtId="49" fontId="30" fillId="19" borderId="42" xfId="0" applyNumberFormat="1" applyFont="1" applyFill="1" applyBorder="1" applyAlignment="1" applyProtection="1">
      <alignment horizontal="center" vertical="center"/>
      <protection hidden="1"/>
    </xf>
    <xf numFmtId="49" fontId="30" fillId="19" borderId="43" xfId="0" applyNumberFormat="1" applyFont="1" applyFill="1" applyBorder="1" applyAlignment="1" applyProtection="1">
      <alignment horizontal="center" vertical="center"/>
      <protection hidden="1"/>
    </xf>
    <xf numFmtId="49" fontId="30" fillId="19" borderId="44" xfId="0" applyNumberFormat="1" applyFont="1" applyFill="1" applyBorder="1" applyAlignment="1" applyProtection="1">
      <alignment horizontal="center" vertical="center"/>
      <protection hidden="1"/>
    </xf>
    <xf numFmtId="49" fontId="30" fillId="19" borderId="45" xfId="0" applyNumberFormat="1" applyFont="1" applyFill="1" applyBorder="1" applyAlignment="1" applyProtection="1">
      <alignment horizontal="center" vertical="center"/>
      <protection hidden="1"/>
    </xf>
    <xf numFmtId="49" fontId="30" fillId="19" borderId="34" xfId="0" applyNumberFormat="1" applyFont="1" applyFill="1" applyBorder="1" applyAlignment="1" applyProtection="1">
      <alignment horizontal="center" vertical="center"/>
      <protection hidden="1"/>
    </xf>
    <xf numFmtId="49" fontId="30" fillId="19" borderId="46" xfId="0" applyNumberFormat="1" applyFont="1" applyFill="1" applyBorder="1" applyAlignment="1" applyProtection="1">
      <alignment horizontal="center" vertical="center"/>
      <protection hidden="1"/>
    </xf>
    <xf numFmtId="49" fontId="30" fillId="19" borderId="47" xfId="0" applyNumberFormat="1" applyFont="1" applyFill="1" applyBorder="1" applyAlignment="1" applyProtection="1">
      <alignment horizontal="center" vertical="center"/>
      <protection hidden="1"/>
    </xf>
    <xf numFmtId="49" fontId="30" fillId="19" borderId="48" xfId="0" applyNumberFormat="1" applyFont="1" applyFill="1" applyBorder="1" applyAlignment="1" applyProtection="1">
      <alignment horizontal="center" vertical="center"/>
      <protection hidden="1"/>
    </xf>
    <xf numFmtId="49" fontId="30" fillId="19" borderId="49" xfId="0" applyNumberFormat="1" applyFont="1" applyFill="1" applyBorder="1" applyAlignment="1" applyProtection="1">
      <alignment horizontal="center" vertical="center"/>
      <protection hidden="1"/>
    </xf>
    <xf numFmtId="0" fontId="0" fillId="7" borderId="0" xfId="0" applyFill="1" applyBorder="1" applyAlignment="1" applyProtection="1">
      <alignment horizontal="center" vertical="center"/>
      <protection hidden="1"/>
    </xf>
    <xf numFmtId="0" fontId="0" fillId="8" borderId="0" xfId="0" applyFill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protection hidden="1"/>
    </xf>
    <xf numFmtId="0" fontId="0" fillId="8" borderId="0" xfId="0" applyFill="1" applyAlignment="1" applyProtection="1">
      <alignment horizontal="right"/>
      <protection hidden="1"/>
    </xf>
    <xf numFmtId="0" fontId="0" fillId="8" borderId="92" xfId="0" applyFill="1" applyBorder="1" applyProtection="1">
      <protection hidden="1"/>
    </xf>
    <xf numFmtId="0" fontId="0" fillId="8" borderId="90" xfId="0" applyFill="1" applyBorder="1" applyAlignment="1" applyProtection="1">
      <protection hidden="1"/>
    </xf>
    <xf numFmtId="0" fontId="0" fillId="8" borderId="91" xfId="0" applyFill="1" applyBorder="1" applyAlignment="1" applyProtection="1">
      <protection hidden="1"/>
    </xf>
    <xf numFmtId="0" fontId="0" fillId="9" borderId="16" xfId="0" applyFill="1" applyBorder="1" applyProtection="1">
      <protection hidden="1"/>
    </xf>
    <xf numFmtId="0" fontId="1" fillId="13" borderId="9" xfId="0" applyFont="1" applyFill="1" applyBorder="1" applyAlignment="1" applyProtection="1">
      <alignment horizontal="center"/>
      <protection locked="0" hidden="1"/>
    </xf>
    <xf numFmtId="49" fontId="1" fillId="13" borderId="9" xfId="0" applyNumberFormat="1" applyFont="1" applyFill="1" applyBorder="1" applyAlignment="1" applyProtection="1">
      <alignment horizontal="center" vertical="center"/>
      <protection locked="0" hidden="1"/>
    </xf>
    <xf numFmtId="2" fontId="1" fillId="12" borderId="79" xfId="0" applyNumberFormat="1" applyFont="1" applyFill="1" applyBorder="1" applyAlignment="1" applyProtection="1">
      <alignment horizontal="center" vertical="center"/>
      <protection locked="0" hidden="1"/>
    </xf>
    <xf numFmtId="0" fontId="34" fillId="8" borderId="0" xfId="0" applyFont="1" applyFill="1" applyProtection="1">
      <protection hidden="1"/>
    </xf>
    <xf numFmtId="2" fontId="1" fillId="14" borderId="79" xfId="0" applyNumberFormat="1" applyFont="1" applyFill="1" applyBorder="1" applyAlignment="1" applyProtection="1">
      <alignment horizontal="center" vertical="center"/>
      <protection hidden="1"/>
    </xf>
    <xf numFmtId="49" fontId="1" fillId="12" borderId="79" xfId="0" quotePrefix="1" applyNumberFormat="1" applyFont="1" applyFill="1" applyBorder="1" applyAlignment="1" applyProtection="1">
      <alignment horizontal="center" vertical="center"/>
      <protection locked="0" hidden="1"/>
    </xf>
    <xf numFmtId="0" fontId="7" fillId="9" borderId="0" xfId="0" applyFont="1" applyFill="1" applyAlignment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34" fillId="7" borderId="0" xfId="0" applyFont="1" applyFill="1" applyProtection="1">
      <protection hidden="1"/>
    </xf>
    <xf numFmtId="0" fontId="35" fillId="8" borderId="0" xfId="0" applyFont="1" applyFill="1" applyProtection="1">
      <protection hidden="1"/>
    </xf>
    <xf numFmtId="0" fontId="34" fillId="21" borderId="0" xfId="0" applyFont="1" applyFill="1" applyProtection="1">
      <protection hidden="1"/>
    </xf>
    <xf numFmtId="1" fontId="34" fillId="13" borderId="0" xfId="0" applyNumberFormat="1" applyFont="1" applyFill="1" applyAlignment="1" applyProtection="1">
      <alignment horizontal="center" vertical="center"/>
      <protection locked="0" hidden="1"/>
    </xf>
    <xf numFmtId="0" fontId="35" fillId="8" borderId="0" xfId="0" applyFont="1" applyFill="1" applyAlignment="1" applyProtection="1">
      <alignment horizontal="center" vertical="center"/>
      <protection hidden="1"/>
    </xf>
    <xf numFmtId="167" fontId="0" fillId="13" borderId="42" xfId="0" applyNumberFormat="1" applyFill="1" applyBorder="1" applyAlignment="1" applyProtection="1">
      <alignment horizontal="center" vertical="center"/>
      <protection locked="0" hidden="1"/>
    </xf>
    <xf numFmtId="167" fontId="0" fillId="13" borderId="34" xfId="0" applyNumberFormat="1" applyFill="1" applyBorder="1" applyAlignment="1" applyProtection="1">
      <alignment horizontal="center" vertical="center"/>
      <protection locked="0" hidden="1"/>
    </xf>
    <xf numFmtId="167" fontId="0" fillId="13" borderId="43" xfId="0" applyNumberFormat="1" applyFill="1" applyBorder="1" applyAlignment="1" applyProtection="1">
      <alignment horizontal="center" vertical="center"/>
      <protection locked="0" hidden="1"/>
    </xf>
    <xf numFmtId="167" fontId="0" fillId="13" borderId="44" xfId="0" applyNumberFormat="1" applyFill="1" applyBorder="1" applyAlignment="1" applyProtection="1">
      <alignment horizontal="center" vertical="center"/>
      <protection locked="0" hidden="1"/>
    </xf>
    <xf numFmtId="167" fontId="0" fillId="13" borderId="45" xfId="0" applyNumberFormat="1" applyFill="1" applyBorder="1" applyAlignment="1" applyProtection="1">
      <alignment horizontal="center" vertical="center"/>
      <protection locked="0" hidden="1"/>
    </xf>
    <xf numFmtId="167" fontId="0" fillId="13" borderId="46" xfId="0" applyNumberFormat="1" applyFill="1" applyBorder="1" applyAlignment="1" applyProtection="1">
      <alignment horizontal="center" vertical="center"/>
      <protection locked="0" hidden="1"/>
    </xf>
    <xf numFmtId="167" fontId="0" fillId="13" borderId="47" xfId="0" applyNumberFormat="1" applyFill="1" applyBorder="1" applyAlignment="1" applyProtection="1">
      <alignment horizontal="center" vertical="center"/>
      <protection locked="0" hidden="1"/>
    </xf>
    <xf numFmtId="167" fontId="0" fillId="13" borderId="48" xfId="0" applyNumberFormat="1" applyFill="1" applyBorder="1" applyAlignment="1" applyProtection="1">
      <alignment horizontal="center" vertical="center"/>
      <protection locked="0" hidden="1"/>
    </xf>
    <xf numFmtId="167" fontId="0" fillId="13" borderId="49" xfId="0" applyNumberFormat="1" applyFill="1" applyBorder="1" applyAlignment="1" applyProtection="1">
      <alignment horizontal="center" vertical="center"/>
      <protection locked="0" hidden="1"/>
    </xf>
    <xf numFmtId="165" fontId="1" fillId="14" borderId="51" xfId="0" applyNumberFormat="1" applyFont="1" applyFill="1" applyBorder="1" applyAlignment="1" applyProtection="1">
      <alignment horizontal="center" vertical="center"/>
      <protection hidden="1"/>
    </xf>
    <xf numFmtId="165" fontId="1" fillId="14" borderId="57" xfId="0" applyNumberFormat="1" applyFont="1" applyFill="1" applyBorder="1" applyAlignment="1" applyProtection="1">
      <alignment horizontal="center" vertical="center"/>
      <protection hidden="1"/>
    </xf>
    <xf numFmtId="165" fontId="1" fillId="14" borderId="58" xfId="0" applyNumberFormat="1" applyFont="1" applyFill="1" applyBorder="1" applyAlignment="1" applyProtection="1">
      <alignment horizontal="center" vertical="center"/>
      <protection hidden="1"/>
    </xf>
    <xf numFmtId="165" fontId="1" fillId="13" borderId="95" xfId="0" applyNumberFormat="1" applyFont="1" applyFill="1" applyBorder="1" applyAlignment="1" applyProtection="1">
      <alignment horizontal="center" vertical="center"/>
      <protection locked="0" hidden="1"/>
    </xf>
    <xf numFmtId="165" fontId="1" fillId="13" borderId="96" xfId="0" applyNumberFormat="1" applyFont="1" applyFill="1" applyBorder="1" applyAlignment="1" applyProtection="1">
      <alignment horizontal="center" vertical="center"/>
      <protection locked="0" hidden="1"/>
    </xf>
    <xf numFmtId="165" fontId="1" fillId="13" borderId="97" xfId="0" applyNumberFormat="1" applyFont="1" applyFill="1" applyBorder="1" applyAlignment="1" applyProtection="1">
      <alignment horizontal="center" vertical="center"/>
      <protection locked="0" hidden="1"/>
    </xf>
    <xf numFmtId="49" fontId="30" fillId="19" borderId="98" xfId="0" applyNumberFormat="1" applyFont="1" applyFill="1" applyBorder="1" applyAlignment="1" applyProtection="1">
      <alignment horizontal="center" vertical="center"/>
      <protection hidden="1"/>
    </xf>
    <xf numFmtId="49" fontId="30" fillId="19" borderId="99" xfId="0" applyNumberFormat="1" applyFont="1" applyFill="1" applyBorder="1" applyAlignment="1" applyProtection="1">
      <alignment horizontal="center" vertical="center"/>
      <protection hidden="1"/>
    </xf>
    <xf numFmtId="49" fontId="30" fillId="19" borderId="100" xfId="0" applyNumberFormat="1" applyFont="1" applyFill="1" applyBorder="1" applyAlignment="1" applyProtection="1">
      <alignment horizontal="center" vertical="center"/>
      <protection hidden="1"/>
    </xf>
    <xf numFmtId="49" fontId="30" fillId="19" borderId="101" xfId="0" applyNumberFormat="1" applyFont="1" applyFill="1" applyBorder="1" applyAlignment="1" applyProtection="1">
      <alignment horizontal="center" vertical="center"/>
      <protection hidden="1"/>
    </xf>
    <xf numFmtId="49" fontId="30" fillId="19" borderId="102" xfId="0" applyNumberFormat="1" applyFont="1" applyFill="1" applyBorder="1" applyAlignment="1" applyProtection="1">
      <alignment horizontal="center" vertical="center"/>
      <protection hidden="1"/>
    </xf>
    <xf numFmtId="49" fontId="30" fillId="19" borderId="103" xfId="0" applyNumberFormat="1" applyFont="1" applyFill="1" applyBorder="1" applyAlignment="1" applyProtection="1">
      <alignment horizontal="center" vertical="center"/>
      <protection hidden="1"/>
    </xf>
    <xf numFmtId="49" fontId="30" fillId="19" borderId="104" xfId="0" applyNumberFormat="1" applyFont="1" applyFill="1" applyBorder="1" applyAlignment="1" applyProtection="1">
      <alignment horizontal="center" vertical="center"/>
      <protection hidden="1"/>
    </xf>
    <xf numFmtId="49" fontId="30" fillId="19" borderId="105" xfId="0" applyNumberFormat="1" applyFont="1" applyFill="1" applyBorder="1" applyAlignment="1" applyProtection="1">
      <alignment horizontal="center" vertical="center"/>
      <protection hidden="1"/>
    </xf>
    <xf numFmtId="49" fontId="37" fillId="8" borderId="0" xfId="0" applyNumberFormat="1" applyFont="1" applyFill="1" applyAlignment="1" applyProtection="1">
      <alignment horizontal="right" vertical="center"/>
      <protection hidden="1"/>
    </xf>
    <xf numFmtId="49" fontId="42" fillId="19" borderId="34" xfId="0" applyNumberFormat="1" applyFont="1" applyFill="1" applyBorder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protection hidden="1"/>
    </xf>
    <xf numFmtId="49" fontId="0" fillId="8" borderId="0" xfId="0" applyNumberFormat="1" applyFill="1" applyAlignment="1" applyProtection="1">
      <alignment vertical="center"/>
      <protection hidden="1"/>
    </xf>
    <xf numFmtId="49" fontId="0" fillId="8" borderId="0" xfId="0" applyNumberFormat="1" applyFill="1" applyProtection="1">
      <protection hidden="1"/>
    </xf>
    <xf numFmtId="49" fontId="38" fillId="8" borderId="0" xfId="0" applyNumberFormat="1" applyFont="1" applyFill="1" applyAlignment="1" applyProtection="1">
      <alignment horizontal="right" vertical="center"/>
      <protection hidden="1"/>
    </xf>
    <xf numFmtId="49" fontId="38" fillId="8" borderId="0" xfId="0" applyNumberFormat="1" applyFont="1" applyFill="1" applyProtection="1">
      <protection hidden="1"/>
    </xf>
    <xf numFmtId="49" fontId="41" fillId="8" borderId="0" xfId="0" applyNumberFormat="1" applyFont="1" applyFill="1" applyAlignment="1" applyProtection="1">
      <alignment horizontal="right" vertical="center"/>
      <protection hidden="1"/>
    </xf>
    <xf numFmtId="49" fontId="40" fillId="8" borderId="0" xfId="0" applyNumberFormat="1" applyFont="1" applyFill="1" applyAlignment="1" applyProtection="1">
      <alignment horizontal="left"/>
      <protection hidden="1"/>
    </xf>
    <xf numFmtId="49" fontId="0" fillId="8" borderId="0" xfId="0" applyNumberFormat="1" applyFill="1" applyBorder="1" applyProtection="1">
      <protection hidden="1"/>
    </xf>
    <xf numFmtId="49" fontId="0" fillId="13" borderId="9" xfId="0" applyNumberFormat="1" applyFill="1" applyBorder="1" applyAlignment="1" applyProtection="1">
      <alignment horizontal="center" vertical="center"/>
      <protection locked="0"/>
    </xf>
    <xf numFmtId="49" fontId="0" fillId="14" borderId="9" xfId="0" applyNumberFormat="1" applyFill="1" applyBorder="1" applyAlignment="1" applyProtection="1">
      <alignment horizontal="center" vertical="center"/>
      <protection hidden="1"/>
    </xf>
    <xf numFmtId="49" fontId="0" fillId="7" borderId="0" xfId="0" applyNumberFormat="1" applyFill="1" applyAlignment="1" applyProtection="1">
      <alignment vertical="center"/>
      <protection hidden="1"/>
    </xf>
    <xf numFmtId="49" fontId="0" fillId="7" borderId="0" xfId="0" applyNumberFormat="1" applyFill="1" applyProtection="1">
      <protection hidden="1"/>
    </xf>
    <xf numFmtId="49" fontId="0" fillId="8" borderId="0" xfId="0" applyNumberFormat="1" applyFill="1" applyAlignment="1" applyProtection="1">
      <alignment horizontal="center" vertical="center"/>
      <protection hidden="1"/>
    </xf>
    <xf numFmtId="49" fontId="25" fillId="5" borderId="77" xfId="0" applyNumberFormat="1" applyFont="1" applyFill="1" applyBorder="1" applyAlignment="1" applyProtection="1">
      <alignment horizontal="center" vertical="center"/>
      <protection hidden="1"/>
    </xf>
    <xf numFmtId="49" fontId="25" fillId="5" borderId="0" xfId="0" applyNumberFormat="1" applyFont="1" applyFill="1" applyBorder="1" applyAlignment="1" applyProtection="1">
      <alignment horizontal="center" vertical="center"/>
      <protection hidden="1"/>
    </xf>
    <xf numFmtId="49" fontId="26" fillId="5" borderId="77" xfId="0" applyNumberFormat="1" applyFont="1" applyFill="1" applyBorder="1" applyAlignment="1" applyProtection="1">
      <alignment horizontal="center" vertical="center"/>
      <protection hidden="1"/>
    </xf>
    <xf numFmtId="49" fontId="26" fillId="5" borderId="0" xfId="0" applyNumberFormat="1" applyFont="1" applyFill="1" applyBorder="1" applyAlignment="1" applyProtection="1">
      <alignment horizontal="center" vertical="center"/>
      <protection hidden="1"/>
    </xf>
    <xf numFmtId="0" fontId="24" fillId="11" borderId="106" xfId="0" applyFont="1" applyFill="1" applyBorder="1" applyAlignment="1" applyProtection="1">
      <alignment horizontal="center" vertical="center" wrapText="1"/>
      <protection hidden="1"/>
    </xf>
    <xf numFmtId="0" fontId="1" fillId="14" borderId="107" xfId="0" applyFont="1" applyFill="1" applyBorder="1" applyAlignment="1" applyProtection="1">
      <alignment horizontal="center" vertical="center" wrapText="1"/>
      <protection hidden="1"/>
    </xf>
    <xf numFmtId="0" fontId="1" fillId="14" borderId="108" xfId="0" applyFont="1" applyFill="1" applyBorder="1" applyAlignment="1" applyProtection="1">
      <alignment horizontal="center" vertical="center" wrapText="1"/>
      <protection hidden="1"/>
    </xf>
    <xf numFmtId="0" fontId="1" fillId="14" borderId="109" xfId="0" applyFont="1" applyFill="1" applyBorder="1" applyAlignment="1" applyProtection="1">
      <alignment horizontal="center" vertical="center" wrapText="1"/>
      <protection hidden="1"/>
    </xf>
    <xf numFmtId="0" fontId="3" fillId="7" borderId="0" xfId="1" applyFill="1" applyAlignment="1" applyProtection="1">
      <protection hidden="1"/>
    </xf>
    <xf numFmtId="0" fontId="17" fillId="5" borderId="0" xfId="0" applyFont="1" applyFill="1" applyBorder="1" applyAlignment="1" applyProtection="1">
      <alignment horizontal="right" vertical="center"/>
      <protection hidden="1"/>
    </xf>
    <xf numFmtId="49" fontId="15" fillId="15" borderId="0" xfId="0" applyNumberFormat="1" applyFont="1" applyFill="1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vertical="center"/>
      <protection locked="0" hidden="1"/>
    </xf>
    <xf numFmtId="0" fontId="16" fillId="5" borderId="0" xfId="0" applyFont="1" applyFill="1" applyBorder="1" applyAlignment="1" applyProtection="1">
      <alignment horizontal="center" vertical="center"/>
      <protection hidden="1"/>
    </xf>
    <xf numFmtId="0" fontId="4" fillId="5" borderId="0" xfId="1" applyFont="1" applyFill="1" applyBorder="1" applyAlignment="1" applyProtection="1">
      <protection hidden="1"/>
    </xf>
    <xf numFmtId="0" fontId="3" fillId="5" borderId="0" xfId="1" applyFill="1" applyBorder="1" applyAlignment="1" applyProtection="1">
      <protection hidden="1"/>
    </xf>
    <xf numFmtId="0" fontId="20" fillId="16" borderId="0" xfId="0" applyFont="1" applyFill="1" applyAlignment="1" applyProtection="1">
      <alignment horizontal="center" vertical="center" wrapText="1"/>
      <protection hidden="1"/>
    </xf>
    <xf numFmtId="0" fontId="20" fillId="16" borderId="0" xfId="0" applyFont="1" applyFill="1" applyAlignment="1" applyProtection="1">
      <alignment horizontal="center" vertical="center"/>
      <protection hidden="1"/>
    </xf>
    <xf numFmtId="0" fontId="21" fillId="8" borderId="0" xfId="0" applyFont="1" applyFill="1" applyBorder="1" applyAlignment="1" applyProtection="1">
      <alignment horizontal="right" vertical="center"/>
      <protection hidden="1"/>
    </xf>
    <xf numFmtId="0" fontId="3" fillId="8" borderId="0" xfId="1" applyFill="1" applyBorder="1" applyAlignment="1" applyProtection="1">
      <alignment horizontal="left" vertical="center"/>
      <protection hidden="1"/>
    </xf>
    <xf numFmtId="0" fontId="18" fillId="8" borderId="0" xfId="0" applyFont="1" applyFill="1" applyBorder="1" applyAlignment="1" applyProtection="1">
      <alignment horizontal="left" vertical="center"/>
      <protection hidden="1"/>
    </xf>
    <xf numFmtId="0" fontId="22" fillId="7" borderId="0" xfId="0" applyFont="1" applyFill="1" applyAlignment="1" applyProtection="1">
      <alignment horizontal="center" vertical="top" wrapText="1"/>
      <protection hidden="1"/>
    </xf>
    <xf numFmtId="0" fontId="22" fillId="7" borderId="0" xfId="0" applyFont="1" applyFill="1" applyAlignment="1" applyProtection="1">
      <alignment horizontal="center" vertical="top"/>
      <protection hidden="1"/>
    </xf>
    <xf numFmtId="0" fontId="1" fillId="6" borderId="0" xfId="0" applyFont="1" applyFill="1" applyBorder="1" applyAlignment="1" applyProtection="1">
      <alignment horizontal="center"/>
      <protection hidden="1"/>
    </xf>
    <xf numFmtId="0" fontId="0" fillId="5" borderId="0" xfId="0" applyFill="1" applyBorder="1" applyAlignment="1" applyProtection="1">
      <alignment horizontal="center"/>
      <protection hidden="1"/>
    </xf>
    <xf numFmtId="0" fontId="19" fillId="8" borderId="2" xfId="1" applyFont="1" applyFill="1" applyBorder="1" applyAlignment="1" applyProtection="1">
      <alignment horizontal="left" vertical="center"/>
      <protection hidden="1"/>
    </xf>
    <xf numFmtId="0" fontId="18" fillId="8" borderId="2" xfId="0" applyFont="1" applyFill="1" applyBorder="1" applyAlignment="1" applyProtection="1">
      <alignment horizontal="left" vertical="center"/>
      <protection hidden="1"/>
    </xf>
    <xf numFmtId="0" fontId="21" fillId="8" borderId="2" xfId="0" applyFont="1" applyFill="1" applyBorder="1" applyAlignment="1" applyProtection="1">
      <alignment horizontal="right" vertical="center"/>
      <protection hidden="1"/>
    </xf>
    <xf numFmtId="0" fontId="0" fillId="12" borderId="11" xfId="0" applyFont="1" applyFill="1" applyBorder="1" applyAlignment="1" applyProtection="1">
      <alignment horizontal="center"/>
      <protection hidden="1"/>
    </xf>
    <xf numFmtId="0" fontId="0" fillId="0" borderId="85" xfId="0" applyBorder="1" applyAlignment="1" applyProtection="1">
      <alignment horizontal="center"/>
      <protection hidden="1"/>
    </xf>
    <xf numFmtId="0" fontId="0" fillId="0" borderId="12" xfId="0" applyBorder="1" applyAlignment="1" applyProtection="1">
      <alignment horizontal="center"/>
      <protection hidden="1"/>
    </xf>
    <xf numFmtId="0" fontId="2" fillId="3" borderId="4" xfId="0" applyFont="1" applyFill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4" xfId="0" applyBorder="1" applyAlignment="1" applyProtection="1">
      <alignment wrapText="1"/>
      <protection hidden="1"/>
    </xf>
    <xf numFmtId="0" fontId="4" fillId="3" borderId="4" xfId="1" applyFont="1" applyFill="1" applyBorder="1" applyAlignment="1" applyProtection="1">
      <alignment horizontal="center" vertical="center" wrapText="1"/>
      <protection hidden="1"/>
    </xf>
    <xf numFmtId="0" fontId="7" fillId="9" borderId="0" xfId="0" applyFont="1" applyFill="1" applyBorder="1" applyAlignment="1" applyProtection="1">
      <alignment horizontal="right"/>
      <protection hidden="1"/>
    </xf>
    <xf numFmtId="0" fontId="0" fillId="0" borderId="0" xfId="0" applyAlignment="1" applyProtection="1">
      <alignment horizontal="right"/>
      <protection hidden="1"/>
    </xf>
    <xf numFmtId="0" fontId="8" fillId="8" borderId="78" xfId="0" applyFont="1" applyFill="1" applyBorder="1" applyAlignment="1" applyProtection="1">
      <alignment horizontal="center" vertical="center"/>
      <protection hidden="1"/>
    </xf>
    <xf numFmtId="0" fontId="0" fillId="0" borderId="78" xfId="0" applyBorder="1" applyAlignment="1" applyProtection="1">
      <alignment horizontal="center" vertical="center"/>
      <protection hidden="1"/>
    </xf>
    <xf numFmtId="49" fontId="0" fillId="20" borderId="86" xfId="0" applyNumberFormat="1" applyFill="1" applyBorder="1" applyAlignment="1" applyProtection="1">
      <alignment horizontal="center" vertical="center"/>
      <protection hidden="1"/>
    </xf>
    <xf numFmtId="49" fontId="0" fillId="0" borderId="87" xfId="0" applyNumberFormat="1" applyBorder="1" applyAlignment="1" applyProtection="1">
      <alignment horizontal="center" vertical="center"/>
      <protection hidden="1"/>
    </xf>
    <xf numFmtId="49" fontId="0" fillId="0" borderId="88" xfId="0" applyNumberFormat="1" applyBorder="1" applyAlignment="1" applyProtection="1">
      <alignment horizontal="center" vertical="center"/>
      <protection hidden="1"/>
    </xf>
    <xf numFmtId="0" fontId="31" fillId="8" borderId="0" xfId="0" applyFont="1" applyFill="1" applyBorder="1" applyAlignment="1" applyProtection="1">
      <alignment horizontal="center" vertical="center"/>
      <protection hidden="1"/>
    </xf>
    <xf numFmtId="0" fontId="32" fillId="0" borderId="0" xfId="0" applyFont="1" applyBorder="1" applyAlignment="1" applyProtection="1">
      <alignment horizontal="center" vertical="center"/>
      <protection hidden="1"/>
    </xf>
    <xf numFmtId="0" fontId="32" fillId="0" borderId="0" xfId="0" applyFont="1" applyAlignment="1" applyProtection="1">
      <protection hidden="1"/>
    </xf>
    <xf numFmtId="0" fontId="7" fillId="8" borderId="0" xfId="0" applyFont="1" applyFill="1" applyBorder="1" applyAlignment="1" applyProtection="1">
      <alignment horizontal="right"/>
      <protection hidden="1"/>
    </xf>
    <xf numFmtId="0" fontId="0" fillId="8" borderId="0" xfId="0" applyFill="1" applyAlignment="1" applyProtection="1">
      <alignment horizontal="right"/>
      <protection hidden="1"/>
    </xf>
    <xf numFmtId="49" fontId="0" fillId="13" borderId="0" xfId="0" applyNumberFormat="1" applyFill="1" applyAlignment="1" applyProtection="1">
      <alignment horizontal="center" vertical="center"/>
      <protection locked="0" hidden="1"/>
    </xf>
    <xf numFmtId="49" fontId="0" fillId="0" borderId="0" xfId="0" applyNumberFormat="1" applyAlignment="1" applyProtection="1">
      <alignment horizontal="center" vertical="center"/>
      <protection locked="0" hidden="1"/>
    </xf>
    <xf numFmtId="49" fontId="33" fillId="13" borderId="89" xfId="0" applyNumberFormat="1" applyFont="1" applyFill="1" applyBorder="1" applyAlignment="1" applyProtection="1">
      <alignment horizontal="center" vertical="center"/>
      <protection locked="0" hidden="1"/>
    </xf>
    <xf numFmtId="0" fontId="0" fillId="0" borderId="90" xfId="0" applyBorder="1" applyAlignment="1" applyProtection="1">
      <protection locked="0" hidden="1"/>
    </xf>
    <xf numFmtId="0" fontId="2" fillId="3" borderId="3" xfId="0" applyFont="1" applyFill="1" applyBorder="1" applyAlignment="1" applyProtection="1">
      <alignment horizontal="center" vertical="center" wrapText="1"/>
      <protection hidden="1"/>
    </xf>
    <xf numFmtId="0" fontId="0" fillId="0" borderId="2" xfId="0" applyBorder="1" applyAlignment="1" applyProtection="1">
      <protection hidden="1"/>
    </xf>
    <xf numFmtId="0" fontId="0" fillId="0" borderId="6" xfId="0" applyBorder="1" applyAlignment="1" applyProtection="1">
      <protection hidden="1"/>
    </xf>
    <xf numFmtId="0" fontId="0" fillId="0" borderId="4" xfId="0" applyBorder="1" applyAlignment="1" applyProtection="1">
      <protection hidden="1"/>
    </xf>
    <xf numFmtId="0" fontId="0" fillId="0" borderId="0" xfId="0" applyBorder="1" applyAlignment="1" applyProtection="1">
      <protection hidden="1"/>
    </xf>
    <xf numFmtId="0" fontId="0" fillId="0" borderId="7" xfId="0" applyBorder="1" applyAlignment="1" applyProtection="1">
      <protection hidden="1"/>
    </xf>
    <xf numFmtId="0" fontId="4" fillId="3" borderId="4" xfId="1" applyFont="1" applyFill="1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protection hidden="1"/>
    </xf>
    <xf numFmtId="0" fontId="0" fillId="0" borderId="1" xfId="0" applyBorder="1" applyAlignment="1" applyProtection="1">
      <protection hidden="1"/>
    </xf>
    <xf numFmtId="0" fontId="0" fillId="0" borderId="8" xfId="0" applyBorder="1" applyAlignment="1" applyProtection="1">
      <protection hidden="1"/>
    </xf>
    <xf numFmtId="0" fontId="7" fillId="9" borderId="0" xfId="0" applyFont="1" applyFill="1" applyAlignment="1" applyProtection="1">
      <protection hidden="1"/>
    </xf>
    <xf numFmtId="0" fontId="0" fillId="0" borderId="0" xfId="0" applyAlignment="1">
      <alignment wrapText="1"/>
    </xf>
    <xf numFmtId="0" fontId="7" fillId="9" borderId="0" xfId="0" applyFont="1" applyFill="1" applyBorder="1" applyAlignment="1" applyProtection="1">
      <alignment horizontal="right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166" fontId="1" fillId="14" borderId="80" xfId="0" applyNumberFormat="1" applyFont="1" applyFill="1" applyBorder="1" applyAlignment="1" applyProtection="1">
      <alignment horizontal="center" vertical="center"/>
      <protection hidden="1"/>
    </xf>
    <xf numFmtId="166" fontId="1" fillId="14" borderId="81" xfId="0" applyNumberFormat="1" applyFont="1" applyFill="1" applyBorder="1" applyAlignment="1" applyProtection="1">
      <alignment horizontal="center" vertical="center"/>
      <protection hidden="1"/>
    </xf>
    <xf numFmtId="49" fontId="7" fillId="9" borderId="0" xfId="0" applyNumberFormat="1" applyFont="1" applyFill="1" applyBorder="1" applyAlignment="1" applyProtection="1">
      <alignment horizontal="right" vertical="center"/>
      <protection hidden="1"/>
    </xf>
    <xf numFmtId="0" fontId="0" fillId="0" borderId="0" xfId="0" applyAlignment="1">
      <alignment vertical="center"/>
    </xf>
    <xf numFmtId="0" fontId="0" fillId="0" borderId="0" xfId="0" applyAlignment="1"/>
    <xf numFmtId="0" fontId="0" fillId="0" borderId="0" xfId="0" applyBorder="1" applyAlignment="1"/>
    <xf numFmtId="0" fontId="44" fillId="3" borderId="3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right" vertical="center"/>
      <protection hidden="1"/>
    </xf>
    <xf numFmtId="0" fontId="28" fillId="8" borderId="0" xfId="0" applyFont="1" applyFill="1" applyAlignment="1" applyProtection="1">
      <alignment horizontal="right" vertical="center"/>
      <protection hidden="1"/>
    </xf>
    <xf numFmtId="0" fontId="28" fillId="8" borderId="93" xfId="0" applyFont="1" applyFill="1" applyBorder="1" applyAlignment="1" applyProtection="1">
      <alignment horizontal="right" vertical="center"/>
      <protection hidden="1"/>
    </xf>
    <xf numFmtId="166" fontId="1" fillId="12" borderId="94" xfId="0" applyNumberFormat="1" applyFont="1" applyFill="1" applyBorder="1" applyAlignment="1" applyProtection="1">
      <alignment horizontal="center" vertical="center"/>
      <protection locked="0" hidden="1"/>
    </xf>
    <xf numFmtId="166" fontId="0" fillId="0" borderId="0" xfId="0" applyNumberFormat="1" applyAlignment="1" applyProtection="1">
      <alignment horizontal="center" vertical="center"/>
      <protection locked="0" hidden="1"/>
    </xf>
    <xf numFmtId="0" fontId="3" fillId="3" borderId="4" xfId="1" applyFill="1" applyBorder="1" applyAlignment="1" applyProtection="1">
      <alignment horizontal="center" vertical="center"/>
      <protection hidden="1"/>
    </xf>
    <xf numFmtId="0" fontId="8" fillId="8" borderId="0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14" borderId="11" xfId="0" applyFill="1" applyBorder="1" applyAlignment="1" applyProtection="1">
      <alignment horizontal="left" vertical="center"/>
      <protection hidden="1"/>
    </xf>
    <xf numFmtId="0" fontId="0" fillId="0" borderId="85" xfId="0" applyBorder="1" applyAlignment="1" applyProtection="1">
      <alignment horizontal="left" vertical="center"/>
      <protection hidden="1"/>
    </xf>
    <xf numFmtId="0" fontId="0" fillId="0" borderId="12" xfId="0" applyBorder="1" applyAlignment="1" applyProtection="1">
      <alignment horizontal="left" vertical="center"/>
      <protection hidden="1"/>
    </xf>
    <xf numFmtId="49" fontId="1" fillId="8" borderId="0" xfId="0" applyNumberFormat="1" applyFont="1" applyFill="1" applyBorder="1" applyAlignment="1" applyProtection="1">
      <alignment horizontal="center"/>
      <protection hidden="1"/>
    </xf>
    <xf numFmtId="0" fontId="0" fillId="0" borderId="0" xfId="0" applyAlignment="1" applyProtection="1">
      <protection hidden="1"/>
    </xf>
    <xf numFmtId="0" fontId="0" fillId="0" borderId="7" xfId="0" applyBorder="1" applyAlignment="1"/>
    <xf numFmtId="0" fontId="36" fillId="8" borderId="0" xfId="0" applyFont="1" applyFill="1" applyAlignment="1" applyProtection="1">
      <alignment horizontal="center" vertical="center"/>
      <protection hidden="1"/>
    </xf>
    <xf numFmtId="0" fontId="35" fillId="8" borderId="0" xfId="0" applyFont="1" applyFill="1" applyAlignment="1" applyProtection="1">
      <alignment horizontal="center" vertical="center" wrapText="1"/>
      <protection hidden="1"/>
    </xf>
    <xf numFmtId="0" fontId="2" fillId="3" borderId="2" xfId="0" applyFont="1" applyFill="1" applyBorder="1" applyAlignment="1" applyProtection="1">
      <alignment horizontal="center" vertical="center" wrapText="1"/>
      <protection hidden="1"/>
    </xf>
    <xf numFmtId="0" fontId="2" fillId="3" borderId="6" xfId="0" applyFont="1" applyFill="1" applyBorder="1" applyAlignment="1" applyProtection="1">
      <alignment horizontal="center" vertical="center" wrapText="1"/>
      <protection hidden="1"/>
    </xf>
    <xf numFmtId="0" fontId="2" fillId="3" borderId="0" xfId="0" applyFont="1" applyFill="1" applyBorder="1" applyAlignment="1" applyProtection="1">
      <alignment horizontal="center" vertical="center" wrapText="1"/>
      <protection hidden="1"/>
    </xf>
    <xf numFmtId="0" fontId="2" fillId="3" borderId="7" xfId="0" applyFont="1" applyFill="1" applyBorder="1" applyAlignment="1" applyProtection="1">
      <alignment horizontal="center" vertical="center" wrapText="1"/>
      <protection hidden="1"/>
    </xf>
    <xf numFmtId="0" fontId="4" fillId="3" borderId="0" xfId="1" applyFont="1" applyFill="1" applyBorder="1" applyAlignment="1" applyProtection="1">
      <alignment horizontal="center" vertical="center"/>
      <protection hidden="1"/>
    </xf>
    <xf numFmtId="0" fontId="4" fillId="3" borderId="7" xfId="1" applyFont="1" applyFill="1" applyBorder="1" applyAlignment="1" applyProtection="1">
      <alignment horizontal="center" vertical="center"/>
      <protection hidden="1"/>
    </xf>
    <xf numFmtId="0" fontId="4" fillId="3" borderId="5" xfId="1" applyFont="1" applyFill="1" applyBorder="1" applyAlignment="1" applyProtection="1">
      <alignment horizontal="center" vertical="center"/>
      <protection hidden="1"/>
    </xf>
    <xf numFmtId="0" fontId="4" fillId="3" borderId="1" xfId="1" applyFont="1" applyFill="1" applyBorder="1" applyAlignment="1" applyProtection="1">
      <alignment horizontal="center" vertical="center"/>
      <protection hidden="1"/>
    </xf>
    <xf numFmtId="0" fontId="4" fillId="3" borderId="8" xfId="1" applyFont="1" applyFill="1" applyBorder="1" applyAlignment="1" applyProtection="1">
      <alignment horizontal="center" vertical="center"/>
      <protection hidden="1"/>
    </xf>
    <xf numFmtId="1" fontId="0" fillId="12" borderId="9" xfId="0" applyNumberFormat="1" applyFont="1" applyFill="1" applyBorder="1" applyAlignment="1" applyProtection="1">
      <alignment horizontal="center"/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7" fillId="9" borderId="7" xfId="0" applyFont="1" applyFill="1" applyBorder="1" applyAlignment="1" applyProtection="1">
      <alignment horizontal="right"/>
      <protection hidden="1"/>
    </xf>
    <xf numFmtId="0" fontId="7" fillId="9" borderId="0" xfId="0" applyFont="1" applyFill="1" applyBorder="1" applyAlignment="1" applyProtection="1">
      <alignment horizontal="center" vertical="center"/>
      <protection hidden="1"/>
    </xf>
    <xf numFmtId="49" fontId="1" fillId="13" borderId="11" xfId="0" applyNumberFormat="1" applyFont="1" applyFill="1" applyBorder="1" applyAlignment="1" applyProtection="1">
      <alignment horizontal="center"/>
      <protection locked="0" hidden="1"/>
    </xf>
    <xf numFmtId="49" fontId="1" fillId="13" borderId="12" xfId="0" applyNumberFormat="1" applyFont="1" applyFill="1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 vertical="center"/>
      <protection hidden="1"/>
    </xf>
    <xf numFmtId="0" fontId="1" fillId="13" borderId="11" xfId="0" applyFont="1" applyFill="1" applyBorder="1" applyAlignment="1" applyProtection="1">
      <alignment horizontal="center" vertical="center"/>
      <protection locked="0" hidden="1"/>
    </xf>
    <xf numFmtId="0" fontId="0" fillId="13" borderId="12" xfId="0" applyFont="1" applyFill="1" applyBorder="1" applyAlignment="1" applyProtection="1">
      <alignment horizontal="center" vertical="center"/>
      <protection locked="0" hidden="1"/>
    </xf>
    <xf numFmtId="0" fontId="8" fillId="8" borderId="56" xfId="0" applyFont="1" applyFill="1" applyBorder="1" applyAlignment="1" applyProtection="1">
      <alignment horizontal="center" vertical="center"/>
      <protection hidden="1"/>
    </xf>
    <xf numFmtId="0" fontId="0" fillId="0" borderId="56" xfId="0" applyBorder="1" applyAlignment="1" applyProtection="1">
      <protection hidden="1"/>
    </xf>
    <xf numFmtId="0" fontId="0" fillId="0" borderId="0" xfId="0" applyAlignment="1">
      <alignment horizontal="center" vertical="center"/>
    </xf>
    <xf numFmtId="49" fontId="1" fillId="12" borderId="11" xfId="0" applyNumberFormat="1" applyFont="1" applyFill="1" applyBorder="1" applyAlignment="1" applyProtection="1">
      <alignment horizontal="center"/>
      <protection locked="0" hidden="1"/>
    </xf>
    <xf numFmtId="49" fontId="1" fillId="12" borderId="12" xfId="0" applyNumberFormat="1" applyFont="1" applyFill="1" applyBorder="1" applyAlignment="1" applyProtection="1">
      <alignment horizontal="center"/>
      <protection locked="0" hidden="1"/>
    </xf>
    <xf numFmtId="0" fontId="0" fillId="0" borderId="4" xfId="0" applyBorder="1" applyAlignment="1"/>
    <xf numFmtId="49" fontId="38" fillId="8" borderId="0" xfId="0" applyNumberFormat="1" applyFont="1" applyFill="1" applyAlignment="1" applyProtection="1">
      <alignment horizontal="left" vertical="center"/>
      <protection hidden="1"/>
    </xf>
    <xf numFmtId="49" fontId="41" fillId="8" borderId="0" xfId="0" applyNumberFormat="1" applyFont="1" applyFill="1" applyAlignment="1" applyProtection="1">
      <alignment horizontal="right" vertical="center"/>
      <protection hidden="1"/>
    </xf>
    <xf numFmtId="49" fontId="41" fillId="8" borderId="7" xfId="0" applyNumberFormat="1" applyFont="1" applyFill="1" applyBorder="1" applyAlignment="1" applyProtection="1">
      <alignment horizontal="right" vertical="center"/>
      <protection hidden="1"/>
    </xf>
    <xf numFmtId="49" fontId="0" fillId="13" borderId="11" xfId="0" applyNumberFormat="1" applyFill="1" applyBorder="1" applyAlignment="1" applyProtection="1">
      <alignment horizontal="left" vertical="center"/>
      <protection locked="0"/>
    </xf>
    <xf numFmtId="49" fontId="0" fillId="13" borderId="85" xfId="0" applyNumberFormat="1" applyFill="1" applyBorder="1" applyAlignment="1" applyProtection="1">
      <alignment horizontal="left" vertical="center"/>
      <protection locked="0"/>
    </xf>
    <xf numFmtId="49" fontId="0" fillId="13" borderId="12" xfId="0" applyNumberFormat="1" applyFill="1" applyBorder="1" applyAlignment="1" applyProtection="1">
      <alignment horizontal="left" vertical="center"/>
      <protection locked="0"/>
    </xf>
    <xf numFmtId="49" fontId="0" fillId="13" borderId="9" xfId="0" applyNumberFormat="1" applyFill="1" applyBorder="1" applyAlignment="1" applyProtection="1">
      <alignment horizontal="left" vertical="center"/>
      <protection locked="0"/>
    </xf>
    <xf numFmtId="49" fontId="38" fillId="8" borderId="1" xfId="0" applyNumberFormat="1" applyFont="1" applyFill="1" applyBorder="1" applyAlignment="1" applyProtection="1">
      <alignment horizontal="center" vertical="center"/>
      <protection hidden="1"/>
    </xf>
    <xf numFmtId="49" fontId="38" fillId="8" borderId="0" xfId="0" applyNumberFormat="1" applyFont="1" applyFill="1" applyBorder="1" applyAlignment="1" applyProtection="1">
      <alignment horizontal="center" vertical="center"/>
      <protection hidden="1"/>
    </xf>
    <xf numFmtId="49" fontId="38" fillId="8" borderId="0" xfId="0" applyNumberFormat="1" applyFont="1" applyFill="1" applyAlignment="1" applyProtection="1">
      <alignment horizontal="right" vertical="center"/>
      <protection hidden="1"/>
    </xf>
    <xf numFmtId="49" fontId="8" fillId="8" borderId="78" xfId="0" applyNumberFormat="1" applyFont="1" applyFill="1" applyBorder="1" applyAlignment="1" applyProtection="1">
      <alignment horizontal="center" vertical="center"/>
      <protection hidden="1"/>
    </xf>
    <xf numFmtId="49" fontId="0" fillId="0" borderId="78" xfId="0" applyNumberFormat="1" applyBorder="1" applyAlignment="1" applyProtection="1">
      <alignment horizontal="center" vertical="center"/>
      <protection hidden="1"/>
    </xf>
    <xf numFmtId="49" fontId="0" fillId="14" borderId="11" xfId="0" applyNumberFormat="1" applyFill="1" applyBorder="1" applyAlignment="1" applyProtection="1">
      <alignment horizontal="left" vertical="center"/>
      <protection hidden="1"/>
    </xf>
    <xf numFmtId="49" fontId="0" fillId="14" borderId="85" xfId="0" applyNumberFormat="1" applyFill="1" applyBorder="1" applyAlignment="1" applyProtection="1">
      <alignment horizontal="left" vertical="center"/>
      <protection hidden="1"/>
    </xf>
    <xf numFmtId="49" fontId="0" fillId="14" borderId="12" xfId="0" applyNumberFormat="1" applyFill="1" applyBorder="1" applyAlignment="1" applyProtection="1">
      <alignment horizontal="left" vertical="center"/>
      <protection hidden="1"/>
    </xf>
    <xf numFmtId="49" fontId="0" fillId="14" borderId="11" xfId="0" applyNumberFormat="1" applyFill="1" applyBorder="1" applyAlignment="1" applyProtection="1">
      <alignment horizontal="left" vertical="center"/>
      <protection locked="0" hidden="1"/>
    </xf>
    <xf numFmtId="49" fontId="0" fillId="14" borderId="85" xfId="0" applyNumberFormat="1" applyFill="1" applyBorder="1" applyAlignment="1" applyProtection="1">
      <alignment horizontal="left" vertical="center"/>
      <protection locked="0" hidden="1"/>
    </xf>
    <xf numFmtId="49" fontId="0" fillId="14" borderId="12" xfId="0" applyNumberFormat="1" applyFill="1" applyBorder="1" applyAlignment="1" applyProtection="1">
      <alignment horizontal="left" vertical="center"/>
      <protection locked="0" hidden="1"/>
    </xf>
    <xf numFmtId="49" fontId="0" fillId="8" borderId="3" xfId="0" applyNumberFormat="1" applyFill="1" applyBorder="1" applyAlignment="1" applyProtection="1">
      <alignment horizontal="left" vertical="center"/>
      <protection hidden="1"/>
    </xf>
    <xf numFmtId="49" fontId="0" fillId="8" borderId="2" xfId="0" applyNumberFormat="1" applyFill="1" applyBorder="1" applyAlignment="1" applyProtection="1">
      <alignment horizontal="left" vertical="center"/>
      <protection hidden="1"/>
    </xf>
    <xf numFmtId="165" fontId="0" fillId="13" borderId="60" xfId="0" applyNumberFormat="1" applyFill="1" applyBorder="1" applyAlignment="1" applyProtection="1">
      <alignment horizontal="center"/>
      <protection locked="0" hidden="1"/>
    </xf>
    <xf numFmtId="165" fontId="0" fillId="13" borderId="61" xfId="0" applyNumberFormat="1" applyFill="1" applyBorder="1" applyAlignment="1" applyProtection="1">
      <alignment horizontal="center"/>
      <protection locked="0" hidden="1"/>
    </xf>
    <xf numFmtId="165" fontId="0" fillId="13" borderId="83" xfId="0" applyNumberFormat="1" applyFill="1" applyBorder="1" applyAlignment="1" applyProtection="1">
      <alignment horizontal="center"/>
      <protection locked="0" hidden="1"/>
    </xf>
    <xf numFmtId="165" fontId="0" fillId="13" borderId="54" xfId="0" applyNumberFormat="1" applyFill="1" applyBorder="1" applyAlignment="1" applyProtection="1">
      <alignment horizontal="center"/>
      <protection locked="0" hidden="1"/>
    </xf>
    <xf numFmtId="165" fontId="0" fillId="13" borderId="62" xfId="0" applyNumberFormat="1" applyFill="1" applyBorder="1" applyAlignment="1" applyProtection="1">
      <alignment horizontal="center"/>
      <protection locked="0" hidden="1"/>
    </xf>
    <xf numFmtId="165" fontId="0" fillId="13" borderId="84" xfId="0" applyNumberFormat="1" applyFill="1" applyBorder="1" applyAlignment="1" applyProtection="1">
      <alignment horizontal="center"/>
      <protection locked="0" hidden="1"/>
    </xf>
    <xf numFmtId="165" fontId="0" fillId="13" borderId="63" xfId="0" applyNumberFormat="1" applyFill="1" applyBorder="1" applyAlignment="1" applyProtection="1">
      <alignment horizontal="center"/>
      <protection locked="0" hidden="1"/>
    </xf>
    <xf numFmtId="165" fontId="0" fillId="13" borderId="65" xfId="0" applyNumberFormat="1" applyFill="1" applyBorder="1" applyAlignment="1" applyProtection="1">
      <alignment horizontal="center"/>
      <protection locked="0" hidden="1"/>
    </xf>
    <xf numFmtId="165" fontId="0" fillId="13" borderId="60" xfId="0" applyNumberFormat="1" applyFill="1" applyBorder="1" applyAlignment="1" applyProtection="1">
      <alignment horizontal="center"/>
      <protection hidden="1"/>
    </xf>
    <xf numFmtId="165" fontId="0" fillId="13" borderId="61" xfId="0" applyNumberFormat="1" applyFill="1" applyBorder="1" applyAlignment="1" applyProtection="1">
      <alignment horizontal="center"/>
      <protection hidden="1"/>
    </xf>
    <xf numFmtId="165" fontId="0" fillId="13" borderId="83" xfId="0" applyNumberFormat="1" applyFill="1" applyBorder="1" applyAlignment="1" applyProtection="1">
      <alignment horizontal="center"/>
      <protection hidden="1"/>
    </xf>
    <xf numFmtId="165" fontId="0" fillId="13" borderId="54" xfId="0" applyNumberFormat="1" applyFill="1" applyBorder="1" applyAlignment="1" applyProtection="1">
      <alignment horizontal="center"/>
      <protection hidden="1"/>
    </xf>
    <xf numFmtId="165" fontId="0" fillId="13" borderId="62" xfId="0" applyNumberFormat="1" applyFill="1" applyBorder="1" applyAlignment="1" applyProtection="1">
      <alignment horizontal="center"/>
      <protection hidden="1"/>
    </xf>
    <xf numFmtId="165" fontId="0" fillId="13" borderId="84" xfId="0" applyNumberFormat="1" applyFill="1" applyBorder="1" applyAlignment="1" applyProtection="1">
      <alignment horizontal="center"/>
      <protection hidden="1"/>
    </xf>
    <xf numFmtId="165" fontId="0" fillId="13" borderId="63" xfId="0" applyNumberFormat="1" applyFill="1" applyBorder="1" applyAlignment="1" applyProtection="1">
      <alignment horizontal="center"/>
      <protection hidden="1"/>
    </xf>
    <xf numFmtId="165" fontId="0" fillId="13" borderId="65" xfId="0" applyNumberFormat="1" applyFill="1" applyBorder="1" applyAlignment="1" applyProtection="1">
      <alignment horizontal="center"/>
      <protection hidden="1"/>
    </xf>
  </cellXfs>
  <cellStyles count="2">
    <cellStyle name="Гиперссылка" xfId="1" builtinId="8"/>
    <cellStyle name="Обычный" xfId="0" builtinId="0"/>
  </cellStyles>
  <dxfs count="11"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numFmt numFmtId="30" formatCode="@"/>
      <fill>
        <patternFill patternType="solid">
          <fgColor indexed="64"/>
          <bgColor rgb="FFFDE9D9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numFmt numFmtId="1" formatCode="0"/>
      <fill>
        <patternFill patternType="solid">
          <fgColor indexed="64"/>
          <bgColor rgb="FFFDE9D9"/>
        </patternFill>
      </fill>
      <alignment horizontal="center" vertical="center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numFmt numFmtId="1" formatCode="0"/>
      <fill>
        <patternFill patternType="solid">
          <fgColor indexed="64"/>
          <bgColor rgb="FFFDE9D9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numFmt numFmtId="1" formatCode="0"/>
      <fill>
        <patternFill patternType="solid">
          <fgColor indexed="64"/>
          <bgColor rgb="FFFDE9D9"/>
        </patternFill>
      </fill>
      <alignment horizontal="center" vertical="center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numFmt numFmtId="30" formatCode="@"/>
      <fill>
        <patternFill patternType="solid">
          <fgColor indexed="64"/>
          <bgColor rgb="FFFDE9D9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left style="thick">
          <color rgb="FF7F7F7F"/>
        </left>
        <right style="thick">
          <color rgb="FF7F7F7F"/>
        </right>
        <top style="thick">
          <color rgb="FF7F7F7F"/>
        </top>
        <bottom style="thick">
          <color rgb="FF7F7F7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rgb="FFFDE9D9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ck">
          <color rgb="FF7F7F7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5D9F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</border>
      <protection locked="1" hidden="1"/>
    </dxf>
    <dxf>
      <font>
        <strike val="0"/>
        <color rgb="FFFF000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</indexedColors>
    <mruColors>
      <color rgb="FFB2A1C7"/>
      <color rgb="FFC5D9F1"/>
      <color rgb="FF7F7F7F"/>
      <color rgb="FF646464"/>
      <color rgb="FFFF9933"/>
      <color rgb="FFDBE5F1"/>
      <color rgb="FFF9B277"/>
      <color rgb="FFFDE9D9"/>
      <color rgb="FFCC6507"/>
      <color rgb="FF9BBB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5.jpg"/><Relationship Id="rId1" Type="http://schemas.openxmlformats.org/officeDocument/2006/relationships/image" Target="../media/image4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228600</xdr:colOff>
      <xdr:row>2</xdr:row>
      <xdr:rowOff>76199</xdr:rowOff>
    </xdr:from>
    <xdr:to>
      <xdr:col>17</xdr:col>
      <xdr:colOff>533400</xdr:colOff>
      <xdr:row>10</xdr:row>
      <xdr:rowOff>11429</xdr:rowOff>
    </xdr:to>
    <xdr:pic>
      <xdr:nvPicPr>
        <xdr:cNvPr id="2" name="Picture 1" descr="222VAG%20GROUP%20LOGOS[1]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10350" y="457199"/>
          <a:ext cx="3352800" cy="1592580"/>
        </a:xfrm>
        <a:prstGeom prst="rect">
          <a:avLst/>
        </a:prstGeom>
      </xdr:spPr>
    </xdr:pic>
    <xdr:clientData/>
  </xdr:twoCellAnchor>
  <xdr:twoCellAnchor editAs="oneCell">
    <xdr:from>
      <xdr:col>13</xdr:col>
      <xdr:colOff>533400</xdr:colOff>
      <xdr:row>9</xdr:row>
      <xdr:rowOff>180975</xdr:rowOff>
    </xdr:from>
    <xdr:to>
      <xdr:col>16</xdr:col>
      <xdr:colOff>242570</xdr:colOff>
      <xdr:row>13</xdr:row>
      <xdr:rowOff>50165</xdr:rowOff>
    </xdr:to>
    <xdr:pic>
      <xdr:nvPicPr>
        <xdr:cNvPr id="5" name="Picture 4" descr="paypal_donate.jp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524750" y="2028825"/>
          <a:ext cx="1537970" cy="6311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13</xdr:row>
          <xdr:rowOff>171450</xdr:rowOff>
        </xdr:from>
        <xdr:to>
          <xdr:col>17</xdr:col>
          <xdr:colOff>0</xdr:colOff>
          <xdr:row>15</xdr:row>
          <xdr:rowOff>76200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0</xdr:rowOff>
    </xdr:from>
    <xdr:to>
      <xdr:col>7</xdr:col>
      <xdr:colOff>304800</xdr:colOff>
      <xdr:row>0</xdr:row>
      <xdr:rowOff>1592580</xdr:rowOff>
    </xdr:to>
    <xdr:pic>
      <xdr:nvPicPr>
        <xdr:cNvPr id="2" name="Picture 1" descr="222VAG%20GROUP%20LOGOS[1].jp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9600" y="0"/>
          <a:ext cx="3352800" cy="159258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76200</xdr:colOff>
      <xdr:row>4</xdr:row>
      <xdr:rowOff>142875</xdr:rowOff>
    </xdr:from>
    <xdr:to>
      <xdr:col>34</xdr:col>
      <xdr:colOff>172720</xdr:colOff>
      <xdr:row>6</xdr:row>
      <xdr:rowOff>66675</xdr:rowOff>
    </xdr:to>
    <xdr:pic macro="[0]!fixCHECKSUM"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43950" y="904875"/>
          <a:ext cx="782320" cy="304800"/>
        </a:xfrm>
        <a:prstGeom prst="rect">
          <a:avLst/>
        </a:prstGeom>
      </xdr:spPr>
    </xdr:pic>
    <xdr:clientData/>
  </xdr:twoCellAnchor>
  <xdr:twoCellAnchor editAs="oneCell">
    <xdr:from>
      <xdr:col>25</xdr:col>
      <xdr:colOff>19050</xdr:colOff>
      <xdr:row>2</xdr:row>
      <xdr:rowOff>142875</xdr:rowOff>
    </xdr:from>
    <xdr:to>
      <xdr:col>31</xdr:col>
      <xdr:colOff>19050</xdr:colOff>
      <xdr:row>4</xdr:row>
      <xdr:rowOff>66675</xdr:rowOff>
    </xdr:to>
    <xdr:pic macro="[0]!LoadEEPROM"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523875"/>
          <a:ext cx="1371600" cy="304800"/>
        </a:xfrm>
        <a:prstGeom prst="rect">
          <a:avLst/>
        </a:prstGeom>
      </xdr:spPr>
    </xdr:pic>
    <xdr:clientData/>
  </xdr:twoCellAnchor>
  <xdr:twoCellAnchor editAs="oneCell">
    <xdr:from>
      <xdr:col>31</xdr:col>
      <xdr:colOff>190500</xdr:colOff>
      <xdr:row>2</xdr:row>
      <xdr:rowOff>152400</xdr:rowOff>
    </xdr:from>
    <xdr:to>
      <xdr:col>37</xdr:col>
      <xdr:colOff>190500</xdr:colOff>
      <xdr:row>4</xdr:row>
      <xdr:rowOff>76200</xdr:rowOff>
    </xdr:to>
    <xdr:pic macro="[0]!SaveEEPROM"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50" y="533400"/>
          <a:ext cx="13716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8</xdr:row>
          <xdr:rowOff>161925</xdr:rowOff>
        </xdr:from>
        <xdr:to>
          <xdr:col>29</xdr:col>
          <xdr:colOff>209550</xdr:colOff>
          <xdr:row>9</xdr:row>
          <xdr:rowOff>190500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Disable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20</xdr:row>
          <xdr:rowOff>180975</xdr:rowOff>
        </xdr:from>
        <xdr:to>
          <xdr:col>3</xdr:col>
          <xdr:colOff>485775</xdr:colOff>
          <xdr:row>21</xdr:row>
          <xdr:rowOff>180975</xdr:rowOff>
        </xdr:to>
        <xdr:sp macro="" textlink="">
          <xdr:nvSpPr>
            <xdr:cNvPr id="10262" name="CheckBox2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3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20</xdr:row>
          <xdr:rowOff>180975</xdr:rowOff>
        </xdr:from>
        <xdr:to>
          <xdr:col>2</xdr:col>
          <xdr:colOff>485775</xdr:colOff>
          <xdr:row>21</xdr:row>
          <xdr:rowOff>180975</xdr:rowOff>
        </xdr:to>
        <xdr:sp macro="" textlink="">
          <xdr:nvSpPr>
            <xdr:cNvPr id="10263" name="CheckBox1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3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20</xdr:row>
          <xdr:rowOff>180975</xdr:rowOff>
        </xdr:from>
        <xdr:to>
          <xdr:col>4</xdr:col>
          <xdr:colOff>485775</xdr:colOff>
          <xdr:row>21</xdr:row>
          <xdr:rowOff>180975</xdr:rowOff>
        </xdr:to>
        <xdr:sp macro="" textlink="">
          <xdr:nvSpPr>
            <xdr:cNvPr id="10264" name="CheckBox3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00000000-0008-0000-0300-00001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20</xdr:row>
          <xdr:rowOff>180975</xdr:rowOff>
        </xdr:from>
        <xdr:to>
          <xdr:col>5</xdr:col>
          <xdr:colOff>485775</xdr:colOff>
          <xdr:row>21</xdr:row>
          <xdr:rowOff>180975</xdr:rowOff>
        </xdr:to>
        <xdr:sp macro="" textlink="">
          <xdr:nvSpPr>
            <xdr:cNvPr id="10265" name="CheckBox4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00000000-0008-0000-0300-00001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247650</xdr:colOff>
          <xdr:row>20</xdr:row>
          <xdr:rowOff>180975</xdr:rowOff>
        </xdr:from>
        <xdr:to>
          <xdr:col>6</xdr:col>
          <xdr:colOff>485775</xdr:colOff>
          <xdr:row>21</xdr:row>
          <xdr:rowOff>180975</xdr:rowOff>
        </xdr:to>
        <xdr:sp macro="" textlink="">
          <xdr:nvSpPr>
            <xdr:cNvPr id="10266" name="CheckBox5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3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20</xdr:row>
          <xdr:rowOff>180975</xdr:rowOff>
        </xdr:from>
        <xdr:to>
          <xdr:col>7</xdr:col>
          <xdr:colOff>485775</xdr:colOff>
          <xdr:row>21</xdr:row>
          <xdr:rowOff>180975</xdr:rowOff>
        </xdr:to>
        <xdr:sp macro="" textlink="">
          <xdr:nvSpPr>
            <xdr:cNvPr id="10267" name="CheckBox6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3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20</xdr:row>
          <xdr:rowOff>180975</xdr:rowOff>
        </xdr:from>
        <xdr:to>
          <xdr:col>8</xdr:col>
          <xdr:colOff>485775</xdr:colOff>
          <xdr:row>21</xdr:row>
          <xdr:rowOff>180975</xdr:rowOff>
        </xdr:to>
        <xdr:sp macro="" textlink="">
          <xdr:nvSpPr>
            <xdr:cNvPr id="10268" name="CheckBox7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3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20</xdr:row>
          <xdr:rowOff>180975</xdr:rowOff>
        </xdr:from>
        <xdr:to>
          <xdr:col>9</xdr:col>
          <xdr:colOff>485775</xdr:colOff>
          <xdr:row>21</xdr:row>
          <xdr:rowOff>180975</xdr:rowOff>
        </xdr:to>
        <xdr:sp macro="" textlink="">
          <xdr:nvSpPr>
            <xdr:cNvPr id="10269" name="CheckBox8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3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247650</xdr:colOff>
          <xdr:row>20</xdr:row>
          <xdr:rowOff>180975</xdr:rowOff>
        </xdr:from>
        <xdr:to>
          <xdr:col>10</xdr:col>
          <xdr:colOff>485775</xdr:colOff>
          <xdr:row>21</xdr:row>
          <xdr:rowOff>180975</xdr:rowOff>
        </xdr:to>
        <xdr:sp macro="" textlink="">
          <xdr:nvSpPr>
            <xdr:cNvPr id="10270" name="CheckBox9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3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20</xdr:row>
          <xdr:rowOff>180975</xdr:rowOff>
        </xdr:from>
        <xdr:to>
          <xdr:col>11</xdr:col>
          <xdr:colOff>485775</xdr:colOff>
          <xdr:row>21</xdr:row>
          <xdr:rowOff>180975</xdr:rowOff>
        </xdr:to>
        <xdr:sp macro="" textlink="">
          <xdr:nvSpPr>
            <xdr:cNvPr id="10271" name="CheckBox10" hidden="1">
              <a:extLst>
                <a:ext uri="{63B3BB69-23CF-44E3-9099-C40C66FF867C}">
                  <a14:compatExt spid="_x0000_s10271"/>
                </a:ext>
                <a:ext uri="{FF2B5EF4-FFF2-40B4-BE49-F238E27FC236}">
                  <a16:creationId xmlns:a16="http://schemas.microsoft.com/office/drawing/2014/main" id="{00000000-0008-0000-0300-00001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247650</xdr:colOff>
          <xdr:row>20</xdr:row>
          <xdr:rowOff>180975</xdr:rowOff>
        </xdr:from>
        <xdr:to>
          <xdr:col>12</xdr:col>
          <xdr:colOff>485775</xdr:colOff>
          <xdr:row>21</xdr:row>
          <xdr:rowOff>180975</xdr:rowOff>
        </xdr:to>
        <xdr:sp macro="" textlink="">
          <xdr:nvSpPr>
            <xdr:cNvPr id="10272" name="CheckBox11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3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247650</xdr:colOff>
          <xdr:row>20</xdr:row>
          <xdr:rowOff>180975</xdr:rowOff>
        </xdr:from>
        <xdr:to>
          <xdr:col>13</xdr:col>
          <xdr:colOff>485775</xdr:colOff>
          <xdr:row>21</xdr:row>
          <xdr:rowOff>180975</xdr:rowOff>
        </xdr:to>
        <xdr:sp macro="" textlink="">
          <xdr:nvSpPr>
            <xdr:cNvPr id="10273" name="CheckBox12" hidden="1">
              <a:extLst>
                <a:ext uri="{63B3BB69-23CF-44E3-9099-C40C66FF867C}">
                  <a14:compatExt spid="_x0000_s10273"/>
                </a:ext>
                <a:ext uri="{FF2B5EF4-FFF2-40B4-BE49-F238E27FC236}">
                  <a16:creationId xmlns:a16="http://schemas.microsoft.com/office/drawing/2014/main" id="{00000000-0008-0000-0300-00002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247650</xdr:colOff>
          <xdr:row>20</xdr:row>
          <xdr:rowOff>180975</xdr:rowOff>
        </xdr:from>
        <xdr:to>
          <xdr:col>14</xdr:col>
          <xdr:colOff>485775</xdr:colOff>
          <xdr:row>21</xdr:row>
          <xdr:rowOff>180975</xdr:rowOff>
        </xdr:to>
        <xdr:sp macro="" textlink="">
          <xdr:nvSpPr>
            <xdr:cNvPr id="10274" name="CheckBox13" hidden="1">
              <a:extLst>
                <a:ext uri="{63B3BB69-23CF-44E3-9099-C40C66FF867C}">
                  <a14:compatExt spid="_x0000_s10274"/>
                </a:ext>
                <a:ext uri="{FF2B5EF4-FFF2-40B4-BE49-F238E27FC236}">
                  <a16:creationId xmlns:a16="http://schemas.microsoft.com/office/drawing/2014/main" id="{00000000-0008-0000-0300-00002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20</xdr:row>
          <xdr:rowOff>180975</xdr:rowOff>
        </xdr:from>
        <xdr:to>
          <xdr:col>15</xdr:col>
          <xdr:colOff>485775</xdr:colOff>
          <xdr:row>21</xdr:row>
          <xdr:rowOff>180975</xdr:rowOff>
        </xdr:to>
        <xdr:sp macro="" textlink="">
          <xdr:nvSpPr>
            <xdr:cNvPr id="10275" name="CheckBox14" hidden="1">
              <a:extLst>
                <a:ext uri="{63B3BB69-23CF-44E3-9099-C40C66FF867C}">
                  <a14:compatExt spid="_x0000_s10275"/>
                </a:ext>
                <a:ext uri="{FF2B5EF4-FFF2-40B4-BE49-F238E27FC236}">
                  <a16:creationId xmlns:a16="http://schemas.microsoft.com/office/drawing/2014/main" id="{00000000-0008-0000-0300-00002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247650</xdr:colOff>
          <xdr:row>20</xdr:row>
          <xdr:rowOff>180975</xdr:rowOff>
        </xdr:from>
        <xdr:to>
          <xdr:col>16</xdr:col>
          <xdr:colOff>485775</xdr:colOff>
          <xdr:row>21</xdr:row>
          <xdr:rowOff>180975</xdr:rowOff>
        </xdr:to>
        <xdr:sp macro="" textlink="">
          <xdr:nvSpPr>
            <xdr:cNvPr id="10276" name="CheckBox15" hidden="1">
              <a:extLst>
                <a:ext uri="{63B3BB69-23CF-44E3-9099-C40C66FF867C}">
                  <a14:compatExt spid="_x0000_s10276"/>
                </a:ext>
                <a:ext uri="{FF2B5EF4-FFF2-40B4-BE49-F238E27FC236}">
                  <a16:creationId xmlns:a16="http://schemas.microsoft.com/office/drawing/2014/main" id="{00000000-0008-0000-0300-00002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247650</xdr:colOff>
          <xdr:row>20</xdr:row>
          <xdr:rowOff>180975</xdr:rowOff>
        </xdr:from>
        <xdr:to>
          <xdr:col>17</xdr:col>
          <xdr:colOff>485775</xdr:colOff>
          <xdr:row>21</xdr:row>
          <xdr:rowOff>180975</xdr:rowOff>
        </xdr:to>
        <xdr:sp macro="" textlink="">
          <xdr:nvSpPr>
            <xdr:cNvPr id="10277" name="CheckBox16" hidden="1">
              <a:extLst>
                <a:ext uri="{63B3BB69-23CF-44E3-9099-C40C66FF867C}">
                  <a14:compatExt spid="_x0000_s10277"/>
                </a:ext>
                <a:ext uri="{FF2B5EF4-FFF2-40B4-BE49-F238E27FC236}">
                  <a16:creationId xmlns:a16="http://schemas.microsoft.com/office/drawing/2014/main" id="{00000000-0008-0000-0300-00002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1438275</xdr:colOff>
      <xdr:row>4</xdr:row>
      <xdr:rowOff>180975</xdr:rowOff>
    </xdr:from>
    <xdr:to>
      <xdr:col>6</xdr:col>
      <xdr:colOff>962025</xdr:colOff>
      <xdr:row>17</xdr:row>
      <xdr:rowOff>142240</xdr:rowOff>
    </xdr:to>
    <xdr:pic>
      <xdr:nvPicPr>
        <xdr:cNvPr id="6145" name="Picture 1" descr="http://fuelinjectorproblems.net/wp-content/uploads/fuel_injection_problems_3.jpg">
          <a:extLst>
            <a:ext uri="{FF2B5EF4-FFF2-40B4-BE49-F238E27FC236}">
              <a16:creationId xmlns:a16="http://schemas.microsoft.com/office/drawing/2014/main" id="{00000000-0008-0000-0400-000001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5210175" y="942975"/>
          <a:ext cx="2095500" cy="2437765"/>
        </a:xfrm>
        <a:prstGeom prst="rect">
          <a:avLst/>
        </a:prstGeom>
        <a:solidFill>
          <a:srgbClr val="FFFFFF">
            <a:shade val="85000"/>
          </a:srgbClr>
        </a:solidFill>
        <a:ln w="101600" cap="sq">
          <a:solidFill>
            <a:srgbClr val="FDFDFD"/>
          </a:solidFill>
          <a:miter lim="800000"/>
        </a:ln>
        <a:effectLst>
          <a:outerShdw blurRad="57150" dist="37500" dir="7560000" sy="98000" kx="110000" ky="200000" algn="tl" rotWithShape="0">
            <a:srgbClr val="000000">
              <a:alpha val="20000"/>
            </a:srgbClr>
          </a:outerShdw>
        </a:effectLst>
        <a:scene3d>
          <a:camera prst="perspectiveRelaxed">
            <a:rot lat="18960000" lon="0" rev="0"/>
          </a:camera>
          <a:lightRig rig="twoPt" dir="t">
            <a:rot lat="0" lon="0" rev="7200000"/>
          </a:lightRig>
        </a:scene3d>
        <a:sp3d prstMaterial="matte">
          <a:bevelT w="22860" h="12700"/>
          <a:contourClr>
            <a:srgbClr val="FFFFFF"/>
          </a:contourClr>
        </a:sp3d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85726</xdr:colOff>
      <xdr:row>6</xdr:row>
      <xdr:rowOff>171450</xdr:rowOff>
    </xdr:from>
    <xdr:to>
      <xdr:col>18</xdr:col>
      <xdr:colOff>180976</xdr:colOff>
      <xdr:row>8</xdr:row>
      <xdr:rowOff>76152</xdr:rowOff>
    </xdr:to>
    <xdr:pic macro="[0]!loadcsv.LoadCSV">
      <xdr:nvPicPr>
        <xdr:cNvPr id="2" name="Picture 1" descr="button for me7 wizzard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448926" y="1314450"/>
          <a:ext cx="1314450" cy="28570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21</xdr:row>
          <xdr:rowOff>66675</xdr:rowOff>
        </xdr:from>
        <xdr:to>
          <xdr:col>13</xdr:col>
          <xdr:colOff>561975</xdr:colOff>
          <xdr:row>21</xdr:row>
          <xdr:rowOff>352425</xdr:rowOff>
        </xdr:to>
        <xdr:sp macro="" textlink="">
          <xdr:nvSpPr>
            <xdr:cNvPr id="1031" name="Object 7" descr="Suggest OPTIMAL x-axi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8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21</xdr:row>
          <xdr:rowOff>66675</xdr:rowOff>
        </xdr:from>
        <xdr:to>
          <xdr:col>13</xdr:col>
          <xdr:colOff>561975</xdr:colOff>
          <xdr:row>21</xdr:row>
          <xdr:rowOff>352425</xdr:rowOff>
        </xdr:to>
        <xdr:sp macro="" textlink="">
          <xdr:nvSpPr>
            <xdr:cNvPr id="3073" name="Object 1" descr="Suggest OPTIMAL x-axi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C18:G949" totalsRowShown="0" headerRowDxfId="9" dataDxfId="7" headerRowBorderDxfId="8" tableBorderDxfId="6">
  <autoFilter ref="C18:G949" xr:uid="{00000000-0009-0000-0100-000001000000}"/>
  <tableColumns count="5">
    <tableColumn id="1" xr3:uid="{00000000-0010-0000-0000-000001000000}" name="PART NUMBER #" dataDxfId="5"/>
    <tableColumn id="2" xr3:uid="{00000000-0010-0000-0000-000002000000}" name="G/MIN @ 3BAR _x000a_100% DC" dataDxfId="4"/>
    <tableColumn id="3" xr3:uid="{00000000-0010-0000-0000-000003000000}" name="CC @ 3BAR _x000a_100% DC" dataDxfId="3"/>
    <tableColumn id="4" xr3:uid="{00000000-0010-0000-0000-000004000000}" name="IMPEDANCE_x000a_Ω" dataDxfId="2"/>
    <tableColumn id="5" xr3:uid="{00000000-0010-0000-0000-000005000000}" name="INJECTOR TYPE (EVxx)" dataDxfId="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arius.guscius@vwklubas.lt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" Type="http://schemas.openxmlformats.org/officeDocument/2006/relationships/vmlDrawing" Target="../drawings/vmlDrawing3.v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6.xml"/><Relationship Id="rId1" Type="http://schemas.openxmlformats.org/officeDocument/2006/relationships/hyperlink" Target="mailto:marius.guscius@vwklubas.lt" TargetMode="External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5" Type="http://schemas.openxmlformats.org/officeDocument/2006/relationships/image" Target="../media/image7.emf"/><Relationship Id="rId15" Type="http://schemas.openxmlformats.org/officeDocument/2006/relationships/control" Target="../activeX/activeX11.xml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5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hyperlink" Target="mailto:marius.guscius@vwklubas.lt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mailto:twoz1ck@gmail.com" TargetMode="External"/><Relationship Id="rId1" Type="http://schemas.openxmlformats.org/officeDocument/2006/relationships/hyperlink" Target="mailto:marius.guscius@vwklubas.lt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marius.guscius@vwklubas.lt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mailto:marius.guscius@vwklubas.lt" TargetMode="External"/><Relationship Id="rId1" Type="http://schemas.openxmlformats.org/officeDocument/2006/relationships/hyperlink" Target="mailto:marius.guscius@vwklubas.lt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marius.guscius@vwklubas.lt" TargetMode="External"/><Relationship Id="rId6" Type="http://schemas.openxmlformats.org/officeDocument/2006/relationships/image" Target="../media/image10.emf"/><Relationship Id="rId5" Type="http://schemas.openxmlformats.org/officeDocument/2006/relationships/oleObject" Target="../embeddings/oleObject2.bin"/><Relationship Id="rId4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arius.guscius@vwklubas.lt" TargetMode="External"/><Relationship Id="rId6" Type="http://schemas.openxmlformats.org/officeDocument/2006/relationships/image" Target="../media/image10.emf"/><Relationship Id="rId5" Type="http://schemas.openxmlformats.org/officeDocument/2006/relationships/oleObject" Target="../embeddings/oleObject3.bin"/><Relationship Id="rId4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mailto:twoz1ck@gmail.com" TargetMode="External"/><Relationship Id="rId1" Type="http://schemas.openxmlformats.org/officeDocument/2006/relationships/hyperlink" Target="mailto:marius.guscius@vwklubas.lt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marius.guscius@vwklubas.lt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mailto:marius.guscius@vwklubas.l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4:L17"/>
  <sheetViews>
    <sheetView topLeftCell="B1" workbookViewId="0">
      <selection activeCell="H9" sqref="H9:J9"/>
    </sheetView>
  </sheetViews>
  <sheetFormatPr defaultRowHeight="15" x14ac:dyDescent="0.25"/>
  <cols>
    <col min="1" max="1" width="9.140625" style="2" hidden="1" customWidth="1"/>
    <col min="2" max="2" width="4.28515625" style="2" customWidth="1"/>
    <col min="3" max="8" width="9.140625" style="2"/>
    <col min="9" max="9" width="9.140625" style="2" customWidth="1"/>
    <col min="10" max="10" width="23.42578125" style="2" customWidth="1"/>
    <col min="11" max="16384" width="9.140625" style="2"/>
  </cols>
  <sheetData>
    <row r="4" spans="3:12" x14ac:dyDescent="0.25">
      <c r="C4" s="1"/>
      <c r="D4" s="1"/>
      <c r="E4" s="1"/>
      <c r="F4" s="1"/>
      <c r="G4" s="1"/>
      <c r="H4" s="1"/>
      <c r="I4" s="1"/>
      <c r="J4" s="1"/>
      <c r="K4" s="1"/>
      <c r="L4" s="1"/>
    </row>
    <row r="5" spans="3:12" x14ac:dyDescent="0.25">
      <c r="C5" s="1"/>
      <c r="D5" s="1"/>
      <c r="E5" s="1"/>
      <c r="F5" s="1"/>
      <c r="G5" s="1"/>
      <c r="H5" s="1"/>
      <c r="I5" s="1"/>
      <c r="J5" s="1"/>
      <c r="K5" s="1"/>
      <c r="L5" s="1"/>
    </row>
    <row r="6" spans="3:12" x14ac:dyDescent="0.25">
      <c r="C6" s="1"/>
      <c r="D6" s="99"/>
      <c r="E6" s="99"/>
      <c r="F6" s="99"/>
      <c r="G6" s="99"/>
      <c r="H6" s="99"/>
      <c r="I6" s="99"/>
      <c r="J6" s="99"/>
      <c r="K6" s="99"/>
      <c r="L6" s="1"/>
    </row>
    <row r="7" spans="3:12" ht="25.5" x14ac:dyDescent="0.25">
      <c r="C7" s="1"/>
      <c r="D7" s="99"/>
      <c r="E7" s="281" t="s">
        <v>22</v>
      </c>
      <c r="F7" s="281"/>
      <c r="G7" s="281"/>
      <c r="H7" s="281"/>
      <c r="I7" s="281"/>
      <c r="J7" s="281"/>
      <c r="K7" s="99"/>
      <c r="L7" s="1"/>
    </row>
    <row r="8" spans="3:12" x14ac:dyDescent="0.25">
      <c r="C8" s="1"/>
      <c r="D8" s="99"/>
      <c r="E8" s="99"/>
      <c r="F8" s="99"/>
      <c r="G8" s="99"/>
      <c r="H8" s="99"/>
      <c r="I8" s="99"/>
      <c r="J8" s="99"/>
      <c r="K8" s="99"/>
      <c r="L8" s="1"/>
    </row>
    <row r="9" spans="3:12" x14ac:dyDescent="0.25">
      <c r="C9" s="1"/>
      <c r="D9" s="99"/>
      <c r="E9" s="278" t="s">
        <v>23</v>
      </c>
      <c r="F9" s="278"/>
      <c r="G9" s="278"/>
      <c r="H9" s="279" t="s">
        <v>1282</v>
      </c>
      <c r="I9" s="280"/>
      <c r="J9" s="280"/>
      <c r="K9" s="99"/>
      <c r="L9" s="1"/>
    </row>
    <row r="10" spans="3:12" x14ac:dyDescent="0.25">
      <c r="C10" s="1"/>
      <c r="D10" s="99"/>
      <c r="E10" s="99"/>
      <c r="F10" s="99"/>
      <c r="G10" s="99"/>
      <c r="H10" s="99"/>
      <c r="I10" s="99"/>
      <c r="J10" s="99"/>
      <c r="K10" s="99"/>
      <c r="L10" s="1"/>
    </row>
    <row r="11" spans="3:12" x14ac:dyDescent="0.25">
      <c r="C11" s="1"/>
      <c r="D11" s="99"/>
      <c r="E11" s="278" t="s">
        <v>25</v>
      </c>
      <c r="F11" s="278"/>
      <c r="G11" s="278"/>
      <c r="H11" s="279">
        <v>3441</v>
      </c>
      <c r="I11" s="280"/>
      <c r="J11" s="280"/>
      <c r="K11" s="99"/>
      <c r="L11" s="1"/>
    </row>
    <row r="12" spans="3:12" x14ac:dyDescent="0.25">
      <c r="C12" s="1"/>
      <c r="D12" s="99"/>
      <c r="E12" s="99"/>
      <c r="F12" s="99"/>
      <c r="G12" s="99"/>
      <c r="H12" s="99"/>
      <c r="I12" s="99"/>
      <c r="J12" s="99"/>
      <c r="K12" s="99"/>
      <c r="L12" s="1"/>
    </row>
    <row r="13" spans="3:12" x14ac:dyDescent="0.25">
      <c r="C13" s="1"/>
      <c r="D13" s="99"/>
      <c r="E13" s="278" t="s">
        <v>24</v>
      </c>
      <c r="F13" s="278"/>
      <c r="G13" s="278"/>
      <c r="H13" s="279" t="s">
        <v>1277</v>
      </c>
      <c r="I13" s="280"/>
      <c r="J13" s="280"/>
      <c r="K13" s="99"/>
      <c r="L13" s="1"/>
    </row>
    <row r="14" spans="3:12" x14ac:dyDescent="0.25">
      <c r="C14" s="1"/>
      <c r="D14" s="99"/>
      <c r="E14" s="99"/>
      <c r="F14" s="99"/>
      <c r="G14" s="99"/>
      <c r="H14" s="99"/>
      <c r="I14" s="99"/>
      <c r="J14" s="99"/>
      <c r="K14" s="99"/>
      <c r="L14" s="1"/>
    </row>
    <row r="15" spans="3:12" x14ac:dyDescent="0.25">
      <c r="C15" s="1"/>
      <c r="D15" s="99"/>
      <c r="E15" s="99"/>
      <c r="F15" s="99"/>
      <c r="G15" s="99"/>
      <c r="H15" s="99"/>
      <c r="I15" s="99"/>
      <c r="J15" s="99"/>
      <c r="K15" s="99"/>
      <c r="L15" s="1"/>
    </row>
    <row r="16" spans="3:12" x14ac:dyDescent="0.25"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3:12" x14ac:dyDescent="0.25">
      <c r="C17" s="1"/>
      <c r="D17" s="1"/>
      <c r="E17" s="1"/>
      <c r="F17" s="1"/>
      <c r="G17" s="1"/>
      <c r="H17" s="1"/>
      <c r="I17" s="1"/>
      <c r="J17" s="1"/>
      <c r="K17" s="1"/>
      <c r="L17" s="1"/>
    </row>
  </sheetData>
  <sheetProtection algorithmName="SHA-512" hashValue="v38Eq1keUGgaJ8Tcqf3nZKMrEZbd4QyEC4AK72TAbJWfUbtuXXmieHVupdI1jqKi08YdPmXuXkh8x3UtY4aYqQ==" saltValue="y6FRvxcb2mDO54ZE7jn9dw==" spinCount="100000" sheet="1" formatCells="0" formatColumns="0" formatRows="0" insertColumns="0" insertRows="0" insertHyperlinks="0" deleteColumns="0" deleteRows="0" sort="0" autoFilter="0" pivotTables="0"/>
  <mergeCells count="7">
    <mergeCell ref="E11:G11"/>
    <mergeCell ref="H11:J11"/>
    <mergeCell ref="E13:G13"/>
    <mergeCell ref="H13:J13"/>
    <mergeCell ref="E7:J7"/>
    <mergeCell ref="H9:J9"/>
    <mergeCell ref="E9:G9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hotoshop.Image.12" shapeId="2049" r:id="rId4">
          <objectPr defaultSize="0" r:id="rId5">
            <anchor moveWithCells="1">
              <from>
                <xdr:col>13</xdr:col>
                <xdr:colOff>152400</xdr:colOff>
                <xdr:row>13</xdr:row>
                <xdr:rowOff>171450</xdr:rowOff>
              </from>
              <to>
                <xdr:col>17</xdr:col>
                <xdr:colOff>0</xdr:colOff>
                <xdr:row>15</xdr:row>
                <xdr:rowOff>76200</xdr:rowOff>
              </to>
            </anchor>
          </objectPr>
        </oleObject>
      </mc:Choice>
      <mc:Fallback>
        <oleObject progId="Photoshop.Image.12" shapeId="204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B1:Q21"/>
  <sheetViews>
    <sheetView showRowColHeaders="0" tabSelected="1" zoomScaleNormal="100" workbookViewId="0">
      <selection activeCell="D6" sqref="D6:K6"/>
    </sheetView>
  </sheetViews>
  <sheetFormatPr defaultRowHeight="15" x14ac:dyDescent="0.25"/>
  <cols>
    <col min="1" max="14" width="9.140625" style="2"/>
    <col min="15" max="15" width="6.7109375" style="100" customWidth="1"/>
    <col min="16" max="16" width="4.7109375" style="101" customWidth="1"/>
    <col min="17" max="17" width="6.7109375" style="100" customWidth="1"/>
    <col min="18" max="16384" width="9.140625" style="2"/>
  </cols>
  <sheetData>
    <row r="1" spans="2:13" ht="129.94999999999999" customHeight="1" x14ac:dyDescent="0.25">
      <c r="I1" s="289"/>
      <c r="J1" s="290"/>
      <c r="K1" s="290"/>
      <c r="L1" s="290"/>
    </row>
    <row r="2" spans="2:13" ht="60" customHeight="1" x14ac:dyDescent="0.25">
      <c r="C2" s="284" t="s">
        <v>21</v>
      </c>
      <c r="D2" s="285"/>
      <c r="E2" s="285"/>
      <c r="F2" s="285"/>
      <c r="G2" s="285"/>
      <c r="H2" s="285"/>
      <c r="I2" s="285"/>
      <c r="J2" s="285"/>
      <c r="K2" s="285"/>
      <c r="L2" s="285"/>
    </row>
    <row r="4" spans="2:13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2:13" x14ac:dyDescent="0.25">
      <c r="B5" s="1"/>
      <c r="C5" s="66"/>
      <c r="D5" s="67"/>
      <c r="E5" s="67"/>
      <c r="F5" s="67"/>
      <c r="G5" s="67"/>
      <c r="H5" s="67"/>
      <c r="I5" s="67"/>
      <c r="J5" s="67"/>
      <c r="K5" s="67"/>
      <c r="L5" s="68"/>
      <c r="M5" s="1"/>
    </row>
    <row r="6" spans="2:13" x14ac:dyDescent="0.25">
      <c r="B6" s="1"/>
      <c r="C6" s="69"/>
      <c r="D6" s="291" t="s">
        <v>10</v>
      </c>
      <c r="E6" s="292"/>
      <c r="F6" s="292"/>
      <c r="G6" s="292"/>
      <c r="H6" s="292"/>
      <c r="I6" s="292"/>
      <c r="J6" s="292"/>
      <c r="K6" s="292"/>
      <c r="L6" s="70"/>
      <c r="M6" s="1"/>
    </row>
    <row r="7" spans="2:13" ht="3.75" customHeight="1" x14ac:dyDescent="0.25">
      <c r="B7" s="1"/>
      <c r="C7" s="69"/>
      <c r="D7" s="71"/>
      <c r="E7" s="71"/>
      <c r="F7" s="71"/>
      <c r="G7" s="71"/>
      <c r="H7" s="71"/>
      <c r="I7" s="71"/>
      <c r="J7" s="71"/>
      <c r="K7" s="71"/>
      <c r="L7" s="70"/>
      <c r="M7" s="1"/>
    </row>
    <row r="8" spans="2:13" x14ac:dyDescent="0.25">
      <c r="B8" s="1"/>
      <c r="C8" s="69"/>
      <c r="D8" s="282" t="s">
        <v>1013</v>
      </c>
      <c r="E8" s="283"/>
      <c r="F8" s="283"/>
      <c r="G8" s="283"/>
      <c r="H8" s="283"/>
      <c r="I8" s="283"/>
      <c r="J8" s="283"/>
      <c r="K8" s="283"/>
      <c r="L8" s="70"/>
      <c r="M8" s="1"/>
    </row>
    <row r="9" spans="2:13" x14ac:dyDescent="0.25">
      <c r="B9" s="1"/>
      <c r="C9" s="69"/>
      <c r="D9" s="282" t="s">
        <v>1144</v>
      </c>
      <c r="E9" s="283"/>
      <c r="F9" s="283"/>
      <c r="G9" s="283"/>
      <c r="H9" s="283"/>
      <c r="I9" s="283"/>
      <c r="J9" s="283"/>
      <c r="K9" s="283"/>
      <c r="L9" s="70"/>
      <c r="M9" s="1"/>
    </row>
    <row r="10" spans="2:13" x14ac:dyDescent="0.25">
      <c r="B10" s="1"/>
      <c r="C10" s="69"/>
      <c r="D10" s="282" t="s">
        <v>1145</v>
      </c>
      <c r="E10" s="283"/>
      <c r="F10" s="283"/>
      <c r="G10" s="283"/>
      <c r="H10" s="283"/>
      <c r="I10" s="283"/>
      <c r="J10" s="283"/>
      <c r="K10" s="283"/>
      <c r="L10" s="70"/>
      <c r="M10" s="1"/>
    </row>
    <row r="11" spans="2:13" x14ac:dyDescent="0.25">
      <c r="B11" s="1"/>
      <c r="C11" s="69"/>
      <c r="D11" s="282" t="s">
        <v>1146</v>
      </c>
      <c r="E11" s="283"/>
      <c r="F11" s="283"/>
      <c r="G11" s="283"/>
      <c r="H11" s="283"/>
      <c r="I11" s="283"/>
      <c r="J11" s="283"/>
      <c r="K11" s="283"/>
      <c r="L11" s="70"/>
      <c r="M11" s="1"/>
    </row>
    <row r="12" spans="2:13" x14ac:dyDescent="0.25">
      <c r="B12" s="1"/>
      <c r="C12" s="69"/>
      <c r="D12" s="282" t="s">
        <v>1147</v>
      </c>
      <c r="E12" s="283"/>
      <c r="F12" s="283"/>
      <c r="G12" s="283"/>
      <c r="H12" s="283"/>
      <c r="I12" s="283"/>
      <c r="J12" s="283"/>
      <c r="K12" s="283"/>
      <c r="L12" s="70"/>
      <c r="M12" s="1"/>
    </row>
    <row r="13" spans="2:13" x14ac:dyDescent="0.25">
      <c r="B13" s="1"/>
      <c r="C13" s="69"/>
      <c r="D13" s="282" t="s">
        <v>1148</v>
      </c>
      <c r="E13" s="283"/>
      <c r="F13" s="283"/>
      <c r="G13" s="283"/>
      <c r="H13" s="283"/>
      <c r="I13" s="283"/>
      <c r="J13" s="283"/>
      <c r="K13" s="283"/>
      <c r="L13" s="70"/>
      <c r="M13" s="1"/>
    </row>
    <row r="14" spans="2:13" x14ac:dyDescent="0.25">
      <c r="B14" s="1"/>
      <c r="C14" s="69"/>
      <c r="D14" s="282" t="s">
        <v>1149</v>
      </c>
      <c r="E14" s="283"/>
      <c r="F14" s="283"/>
      <c r="G14" s="283"/>
      <c r="H14" s="283"/>
      <c r="I14" s="283"/>
      <c r="J14" s="283"/>
      <c r="K14" s="283"/>
      <c r="L14" s="70"/>
      <c r="M14" s="1"/>
    </row>
    <row r="15" spans="2:13" x14ac:dyDescent="0.25">
      <c r="B15" s="1"/>
      <c r="C15" s="69"/>
      <c r="D15" s="282" t="s">
        <v>1150</v>
      </c>
      <c r="E15" s="283"/>
      <c r="F15" s="283"/>
      <c r="G15" s="283"/>
      <c r="H15" s="283"/>
      <c r="I15" s="283"/>
      <c r="J15" s="283"/>
      <c r="K15" s="283"/>
      <c r="L15" s="70"/>
      <c r="M15" s="1"/>
    </row>
    <row r="16" spans="2:13" x14ac:dyDescent="0.25">
      <c r="B16" s="1"/>
      <c r="C16" s="69"/>
      <c r="D16" s="282" t="s">
        <v>1151</v>
      </c>
      <c r="E16" s="283"/>
      <c r="F16" s="283"/>
      <c r="G16" s="283"/>
      <c r="H16" s="283"/>
      <c r="I16" s="283"/>
      <c r="J16" s="283"/>
      <c r="K16" s="283"/>
      <c r="L16" s="70"/>
      <c r="M16" s="1"/>
    </row>
    <row r="17" spans="2:13" x14ac:dyDescent="0.25">
      <c r="B17" s="1"/>
      <c r="C17" s="69"/>
      <c r="D17" s="282" t="s">
        <v>1152</v>
      </c>
      <c r="E17" s="283"/>
      <c r="F17" s="283"/>
      <c r="G17" s="283"/>
      <c r="H17" s="283"/>
      <c r="I17" s="283"/>
      <c r="J17" s="283"/>
      <c r="K17" s="283"/>
      <c r="L17" s="70"/>
      <c r="M17" s="1"/>
    </row>
    <row r="18" spans="2:13" x14ac:dyDescent="0.25">
      <c r="B18" s="1"/>
      <c r="C18" s="69"/>
      <c r="D18" s="282" t="s">
        <v>1263</v>
      </c>
      <c r="E18" s="283"/>
      <c r="F18" s="283"/>
      <c r="G18" s="283"/>
      <c r="H18" s="283"/>
      <c r="I18" s="283"/>
      <c r="J18" s="283"/>
      <c r="K18" s="283"/>
      <c r="L18" s="70"/>
      <c r="M18" s="1"/>
    </row>
    <row r="19" spans="2:13" x14ac:dyDescent="0.25">
      <c r="B19" s="1"/>
      <c r="C19" s="72"/>
      <c r="D19" s="108"/>
      <c r="E19" s="108"/>
      <c r="F19" s="108"/>
      <c r="G19" s="108"/>
      <c r="H19" s="108"/>
      <c r="I19" s="108"/>
      <c r="J19" s="108"/>
      <c r="K19" s="108"/>
      <c r="L19" s="73"/>
      <c r="M19" s="1"/>
    </row>
    <row r="20" spans="2:13" x14ac:dyDescent="0.25">
      <c r="B20" s="1"/>
      <c r="C20" s="1"/>
      <c r="D20" s="295" t="s">
        <v>26</v>
      </c>
      <c r="E20" s="295"/>
      <c r="F20" s="295"/>
      <c r="G20" s="295"/>
      <c r="H20" s="293" t="str">
        <f t="shared" ref="H20" si="0">HYPERLINK("mailto:marius.guscius@vwklubas.lt", "&lt;marius.guscius@vwklubas.lt&gt;")</f>
        <v>&lt;marius.guscius@vwklubas.lt&gt;</v>
      </c>
      <c r="I20" s="294"/>
      <c r="J20" s="294"/>
      <c r="K20" s="294"/>
      <c r="L20" s="1"/>
      <c r="M20" s="1"/>
    </row>
    <row r="21" spans="2:13" x14ac:dyDescent="0.25">
      <c r="B21" s="1"/>
      <c r="C21" s="1"/>
      <c r="D21" s="286" t="s">
        <v>1279</v>
      </c>
      <c r="E21" s="286"/>
      <c r="F21" s="286"/>
      <c r="G21" s="286"/>
      <c r="H21" s="287" t="str">
        <f>HYPERLINK("mailto:twoz1ck@gmail.com", "&lt;twoz1ck@gmail.com&gt;")</f>
        <v>&lt;twoz1ck@gmail.com&gt;</v>
      </c>
      <c r="I21" s="288"/>
      <c r="J21" s="288"/>
      <c r="K21" s="288"/>
      <c r="L21" s="1"/>
      <c r="M21" s="1"/>
    </row>
  </sheetData>
  <sheetProtection algorithmName="SHA-512" hashValue="L2PiNyNJlL49EY88pCrFgQC9QXwRrvQdffgvfOcIm1QOK7HC6irlExVo+9SCqycMySZuRRuxkEaNYgA46aBH9A==" saltValue="trzTWeQ3TX8YeWoBg2WJUA==" spinCount="100000" sheet="1" objects="1" scenarios="1"/>
  <mergeCells count="18">
    <mergeCell ref="D16:K16"/>
    <mergeCell ref="D17:K17"/>
    <mergeCell ref="D18:K18"/>
    <mergeCell ref="C2:L2"/>
    <mergeCell ref="D21:G21"/>
    <mergeCell ref="H21:K21"/>
    <mergeCell ref="I1:L1"/>
    <mergeCell ref="D6:K6"/>
    <mergeCell ref="H20:K20"/>
    <mergeCell ref="D20:G20"/>
    <mergeCell ref="D8:K8"/>
    <mergeCell ref="D9:K9"/>
    <mergeCell ref="D10:K10"/>
    <mergeCell ref="D11:K11"/>
    <mergeCell ref="D12:K12"/>
    <mergeCell ref="D13:K13"/>
    <mergeCell ref="D14:K14"/>
    <mergeCell ref="D15:K15"/>
  </mergeCells>
  <hyperlinks>
    <hyperlink ref="D8:K8" location="'EEPROM MODDER'!A1" display="1) EEPROM MODDER" xr:uid="{00000000-0004-0000-0100-000000000000}"/>
    <hyperlink ref="D9:K9" location="'CODEWORDS CONVERTER'!A1" display="2) CODEWORDS CONVERTER" xr:uid="{00000000-0004-0000-0100-000001000000}"/>
    <hyperlink ref="D10:K10" location="'INJECTORS DATABASE'!A1" display="3) INJECTORS DATABASE" xr:uid="{00000000-0004-0000-0100-000002000000}"/>
    <hyperlink ref="D11:K11" location="'KRKTE CALCULATOR'!A1" display="4) KRKTE CALCULATOR" xr:uid="{00000000-0004-0000-0100-000003000000}"/>
    <hyperlink ref="D12:K12" location="'FKKVS FIXER'!A1" display="5) FKKVS FIXER" xr:uid="{00000000-0004-0000-0100-000004000000}"/>
    <hyperlink ref="D13:K13" location="'KFMIRL ADVISER'!A1" display="6) KFMIRL ADVISER" xr:uid="{00000000-0004-0000-0100-000005000000}"/>
    <hyperlink ref="D14:K14" location="'KFMIOP CALCULATOR (16x16|11x16)'!A1" display="7) KFMIOP CALCULATOR (16x16|11x16)" xr:uid="{00000000-0004-0000-0100-000006000000}"/>
    <hyperlink ref="D15:K15" location="'KFMIOP CALCULATOR (12x16|11x16)'!A1" display="8) KFMIOP CALCULATOR (12x16|11x16)" xr:uid="{00000000-0004-0000-0100-000007000000}"/>
    <hyperlink ref="D16:K16" location="'KFZWOP|2 CONVERTER'!A1" display="9) KFZWOP|2 CONVERTER" xr:uid="{00000000-0004-0000-0100-000008000000}"/>
    <hyperlink ref="D17:K17" location="'LDRXN|LDRXNZK CALCULATOR'!A1" display="10) LDRXN|LDRXNZK CALCULATOR" xr:uid="{00000000-0004-0000-0100-000009000000}"/>
    <hyperlink ref="D18:K18" location="'ANTILAG|LAUNCH CONTROL MODDER'!A1" display="11) ANTILAG|LAUNCH CONTROL MODDER" xr:uid="{00000000-0004-0000-0100-00000A000000}"/>
  </hyperlink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50"/>
  <sheetViews>
    <sheetView showRowColHeaders="0" workbookViewId="0">
      <selection activeCell="Z25" sqref="Z25"/>
    </sheetView>
  </sheetViews>
  <sheetFormatPr defaultRowHeight="15" x14ac:dyDescent="0.25"/>
  <cols>
    <col min="1" max="2" width="9.140625" style="2"/>
    <col min="3" max="18" width="3.42578125" style="2" customWidth="1"/>
    <col min="19" max="19" width="9.140625" style="2"/>
    <col min="20" max="20" width="4.28515625" style="2" customWidth="1"/>
    <col min="21" max="21" width="9.140625" style="2"/>
    <col min="22" max="37" width="3.42578125" style="2" customWidth="1"/>
    <col min="38" max="16384" width="9.140625" style="2"/>
  </cols>
  <sheetData>
    <row r="2" spans="2:38" ht="21" x14ac:dyDescent="0.35"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U2" s="311" t="s">
        <v>1072</v>
      </c>
      <c r="V2" s="312"/>
      <c r="W2" s="312"/>
      <c r="X2" s="312"/>
      <c r="Y2" s="312"/>
      <c r="Z2" s="312"/>
      <c r="AA2" s="312"/>
      <c r="AB2" s="312"/>
      <c r="AC2" s="312"/>
      <c r="AD2" s="312"/>
      <c r="AE2" s="312"/>
      <c r="AF2" s="312"/>
      <c r="AG2" s="312"/>
      <c r="AH2" s="312"/>
      <c r="AI2" s="312"/>
      <c r="AJ2" s="312"/>
      <c r="AK2" s="313"/>
      <c r="AL2" s="313"/>
    </row>
    <row r="3" spans="2:38" x14ac:dyDescent="0.25">
      <c r="B3" s="48"/>
      <c r="C3" s="299" t="s">
        <v>1076</v>
      </c>
      <c r="D3" s="300"/>
      <c r="E3" s="300"/>
      <c r="F3" s="301"/>
      <c r="G3" s="301"/>
      <c r="H3" s="301"/>
      <c r="I3" s="301"/>
      <c r="J3" s="301"/>
      <c r="K3" s="301"/>
      <c r="L3" s="301"/>
      <c r="M3" s="301"/>
      <c r="N3" s="301"/>
      <c r="O3" s="301"/>
      <c r="P3" s="301"/>
      <c r="Q3" s="301"/>
      <c r="R3" s="301"/>
      <c r="S3" s="22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</row>
    <row r="4" spans="2:38" x14ac:dyDescent="0.25">
      <c r="B4" s="48"/>
      <c r="C4" s="302"/>
      <c r="D4" s="301"/>
      <c r="E4" s="301"/>
      <c r="F4" s="301"/>
      <c r="G4" s="301"/>
      <c r="H4" s="301"/>
      <c r="I4" s="301"/>
      <c r="J4" s="301"/>
      <c r="K4" s="301"/>
      <c r="L4" s="301"/>
      <c r="M4" s="301"/>
      <c r="N4" s="301"/>
      <c r="O4" s="301"/>
      <c r="P4" s="301"/>
      <c r="Q4" s="301"/>
      <c r="R4" s="301"/>
      <c r="S4" s="22"/>
      <c r="U4" s="304" t="s">
        <v>1071</v>
      </c>
      <c r="V4" s="305"/>
      <c r="W4" s="305"/>
      <c r="X4" s="305"/>
      <c r="Y4" s="305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</row>
    <row r="5" spans="2:38" x14ac:dyDescent="0.25">
      <c r="B5" s="48"/>
      <c r="C5" s="302"/>
      <c r="D5" s="301"/>
      <c r="E5" s="301"/>
      <c r="F5" s="301"/>
      <c r="G5" s="301"/>
      <c r="H5" s="301"/>
      <c r="I5" s="301"/>
      <c r="J5" s="301"/>
      <c r="K5" s="301"/>
      <c r="L5" s="301"/>
      <c r="M5" s="301"/>
      <c r="N5" s="301"/>
      <c r="O5" s="301"/>
      <c r="P5" s="301"/>
      <c r="Q5" s="301"/>
      <c r="R5" s="301"/>
      <c r="S5" s="22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</row>
    <row r="6" spans="2:38" x14ac:dyDescent="0.25">
      <c r="B6" s="48"/>
      <c r="C6" s="302"/>
      <c r="D6" s="301"/>
      <c r="E6" s="301"/>
      <c r="F6" s="301"/>
      <c r="G6" s="301"/>
      <c r="H6" s="301"/>
      <c r="I6" s="301"/>
      <c r="J6" s="301"/>
      <c r="K6" s="301"/>
      <c r="L6" s="301"/>
      <c r="M6" s="301"/>
      <c r="N6" s="301"/>
      <c r="O6" s="301"/>
      <c r="P6" s="301"/>
      <c r="Q6" s="301"/>
      <c r="R6" s="301"/>
      <c r="S6" s="22"/>
      <c r="U6" s="304" t="s">
        <v>1068</v>
      </c>
      <c r="V6" s="305"/>
      <c r="W6" s="305"/>
      <c r="X6" s="305"/>
      <c r="Y6" s="305"/>
      <c r="Z6" s="308" t="s">
        <v>1075</v>
      </c>
      <c r="AA6" s="309"/>
      <c r="AB6" s="309"/>
      <c r="AC6" s="309"/>
      <c r="AD6" s="309"/>
      <c r="AE6" s="310"/>
      <c r="AF6" s="1"/>
      <c r="AG6" s="1"/>
      <c r="AH6" s="1"/>
      <c r="AI6" s="1"/>
      <c r="AJ6" s="1"/>
      <c r="AK6" s="1"/>
      <c r="AL6" s="1"/>
    </row>
    <row r="7" spans="2:38" x14ac:dyDescent="0.25">
      <c r="B7" s="48"/>
      <c r="C7" s="302"/>
      <c r="D7" s="301"/>
      <c r="E7" s="301"/>
      <c r="F7" s="301"/>
      <c r="G7" s="301"/>
      <c r="H7" s="301"/>
      <c r="I7" s="301"/>
      <c r="J7" s="301"/>
      <c r="K7" s="301"/>
      <c r="L7" s="301"/>
      <c r="M7" s="301"/>
      <c r="N7" s="301"/>
      <c r="O7" s="301"/>
      <c r="P7" s="301"/>
      <c r="Q7" s="301"/>
      <c r="R7" s="301"/>
      <c r="S7" s="22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</row>
    <row r="8" spans="2:38" x14ac:dyDescent="0.25">
      <c r="B8" s="58"/>
      <c r="C8" s="302"/>
      <c r="D8" s="301"/>
      <c r="E8" s="301"/>
      <c r="F8" s="301"/>
      <c r="G8" s="301"/>
      <c r="H8" s="301"/>
      <c r="I8" s="301"/>
      <c r="J8" s="301"/>
      <c r="K8" s="301"/>
      <c r="L8" s="301"/>
      <c r="M8" s="301"/>
      <c r="N8" s="301"/>
      <c r="O8" s="301"/>
      <c r="P8" s="301"/>
      <c r="Q8" s="301"/>
      <c r="R8" s="301"/>
      <c r="S8" s="1"/>
      <c r="U8" s="304" t="s">
        <v>1069</v>
      </c>
      <c r="V8" s="305"/>
      <c r="W8" s="305"/>
      <c r="X8" s="318" t="s">
        <v>1134</v>
      </c>
      <c r="Y8" s="319"/>
      <c r="Z8" s="319"/>
      <c r="AA8" s="319"/>
      <c r="AB8" s="319"/>
      <c r="AC8" s="319"/>
      <c r="AD8" s="319"/>
      <c r="AE8" s="318" t="s">
        <v>1134</v>
      </c>
      <c r="AF8" s="319"/>
      <c r="AG8" s="319"/>
      <c r="AH8" s="319"/>
      <c r="AI8" s="319"/>
      <c r="AJ8" s="319"/>
      <c r="AK8" s="319"/>
      <c r="AL8" s="1"/>
    </row>
    <row r="9" spans="2:38" x14ac:dyDescent="0.25">
      <c r="B9" s="58"/>
      <c r="C9" s="302"/>
      <c r="D9" s="301"/>
      <c r="E9" s="301"/>
      <c r="F9" s="301"/>
      <c r="G9" s="301"/>
      <c r="H9" s="301"/>
      <c r="I9" s="301"/>
      <c r="J9" s="301"/>
      <c r="K9" s="301"/>
      <c r="L9" s="301"/>
      <c r="M9" s="301"/>
      <c r="N9" s="301"/>
      <c r="O9" s="301"/>
      <c r="P9" s="301"/>
      <c r="Q9" s="301"/>
      <c r="R9" s="301"/>
      <c r="S9" s="1"/>
      <c r="U9" s="1"/>
      <c r="V9" s="1"/>
      <c r="W9" s="1"/>
      <c r="X9" s="1"/>
      <c r="Y9" s="1"/>
      <c r="Z9" s="1"/>
      <c r="AA9" s="1"/>
      <c r="AB9" s="1"/>
      <c r="AC9" s="1"/>
      <c r="AD9" s="1"/>
      <c r="AE9" s="215"/>
      <c r="AF9" s="215"/>
      <c r="AG9" s="215"/>
      <c r="AH9" s="215"/>
      <c r="AI9" s="215"/>
      <c r="AJ9" s="215"/>
      <c r="AK9" s="216"/>
      <c r="AL9" s="1"/>
    </row>
    <row r="10" spans="2:38" x14ac:dyDescent="0.25">
      <c r="B10" s="1"/>
      <c r="C10" s="302"/>
      <c r="D10" s="301"/>
      <c r="E10" s="301"/>
      <c r="F10" s="301"/>
      <c r="G10" s="301"/>
      <c r="H10" s="301"/>
      <c r="I10" s="301"/>
      <c r="J10" s="301"/>
      <c r="K10" s="301"/>
      <c r="L10" s="301"/>
      <c r="M10" s="301"/>
      <c r="N10" s="301"/>
      <c r="O10" s="301"/>
      <c r="P10" s="301"/>
      <c r="Q10" s="301"/>
      <c r="R10" s="301"/>
      <c r="S10" s="1"/>
      <c r="U10" s="314" t="s">
        <v>1073</v>
      </c>
      <c r="V10" s="315"/>
      <c r="W10" s="315"/>
      <c r="X10" s="316" t="s">
        <v>1135</v>
      </c>
      <c r="Y10" s="317"/>
      <c r="Z10" s="317"/>
      <c r="AA10" s="317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</row>
    <row r="11" spans="2:38" x14ac:dyDescent="0.25">
      <c r="B11" s="48"/>
      <c r="C11" s="303" t="s">
        <v>0</v>
      </c>
      <c r="D11" s="301"/>
      <c r="E11" s="301"/>
      <c r="F11" s="301"/>
      <c r="G11" s="301"/>
      <c r="H11" s="301"/>
      <c r="I11" s="301"/>
      <c r="J11" s="301"/>
      <c r="K11" s="301"/>
      <c r="L11" s="301"/>
      <c r="M11" s="301"/>
      <c r="N11" s="301"/>
      <c r="O11" s="301"/>
      <c r="P11" s="301"/>
      <c r="Q11" s="301"/>
      <c r="R11" s="301"/>
      <c r="S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214"/>
      <c r="AK11" s="1"/>
      <c r="AL11" s="1"/>
    </row>
    <row r="12" spans="2:38" x14ac:dyDescent="0.25">
      <c r="B12" s="48"/>
      <c r="C12" s="302"/>
      <c r="D12" s="300"/>
      <c r="E12" s="300"/>
      <c r="F12" s="301"/>
      <c r="G12" s="301"/>
      <c r="H12" s="301"/>
      <c r="I12" s="301"/>
      <c r="J12" s="301"/>
      <c r="K12" s="301"/>
      <c r="L12" s="301"/>
      <c r="M12" s="301"/>
      <c r="N12" s="301"/>
      <c r="O12" s="301"/>
      <c r="P12" s="301"/>
      <c r="Q12" s="301"/>
      <c r="R12" s="301"/>
      <c r="S12" s="22"/>
      <c r="U12" s="213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</row>
    <row r="13" spans="2:38" x14ac:dyDescent="0.25"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2"/>
      <c r="C14" s="296"/>
      <c r="D14" s="297"/>
      <c r="E14" s="297"/>
      <c r="F14" s="297"/>
      <c r="G14" s="298"/>
      <c r="H14" s="1"/>
      <c r="I14" s="198" t="s">
        <v>2</v>
      </c>
      <c r="J14" s="1"/>
      <c r="K14" s="199" t="s">
        <v>1</v>
      </c>
      <c r="L14" s="1"/>
      <c r="M14" s="1"/>
      <c r="N14" s="1"/>
      <c r="O14" s="1"/>
      <c r="P14" s="1"/>
      <c r="Q14" s="1"/>
      <c r="R14" s="1"/>
      <c r="S14" s="212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</row>
    <row r="15" spans="2:38" x14ac:dyDescent="0.25">
      <c r="B15" s="22"/>
      <c r="C15" s="22"/>
      <c r="D15" s="22"/>
      <c r="E15" s="22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</row>
    <row r="17" spans="2:38" ht="30" customHeight="1" thickBot="1" x14ac:dyDescent="0.3">
      <c r="B17" s="1"/>
      <c r="C17" s="306" t="s">
        <v>1046</v>
      </c>
      <c r="D17" s="307"/>
      <c r="E17" s="307"/>
      <c r="F17" s="307"/>
      <c r="G17" s="307"/>
      <c r="H17" s="307"/>
      <c r="I17" s="307"/>
      <c r="J17" s="307"/>
      <c r="K17" s="307"/>
      <c r="L17" s="307"/>
      <c r="M17" s="307"/>
      <c r="N17" s="307"/>
      <c r="O17" s="307"/>
      <c r="P17" s="307"/>
      <c r="Q17" s="307"/>
      <c r="R17" s="307"/>
      <c r="S17" s="211"/>
      <c r="T17" s="210"/>
      <c r="U17" s="1"/>
      <c r="V17" s="306" t="s">
        <v>1047</v>
      </c>
      <c r="W17" s="307"/>
      <c r="X17" s="307"/>
      <c r="Y17" s="307"/>
      <c r="Z17" s="307"/>
      <c r="AA17" s="307"/>
      <c r="AB17" s="307"/>
      <c r="AC17" s="307"/>
      <c r="AD17" s="307"/>
      <c r="AE17" s="307"/>
      <c r="AF17" s="307"/>
      <c r="AG17" s="307"/>
      <c r="AH17" s="307"/>
      <c r="AI17" s="307"/>
      <c r="AJ17" s="307"/>
      <c r="AK17" s="307"/>
      <c r="AL17" s="211"/>
    </row>
    <row r="18" spans="2:38" ht="12.75" customHeight="1" thickTop="1" x14ac:dyDescent="0.25">
      <c r="B18" s="200" t="s">
        <v>1014</v>
      </c>
      <c r="C18" s="201" t="s">
        <v>980</v>
      </c>
      <c r="D18" s="202" t="s">
        <v>1063</v>
      </c>
      <c r="E18" s="202" t="s">
        <v>1054</v>
      </c>
      <c r="F18" s="202" t="s">
        <v>980</v>
      </c>
      <c r="G18" s="202" t="s">
        <v>1059</v>
      </c>
      <c r="H18" s="202" t="s">
        <v>1049</v>
      </c>
      <c r="I18" s="202" t="s">
        <v>1048</v>
      </c>
      <c r="J18" s="202" t="s">
        <v>1055</v>
      </c>
      <c r="K18" s="202" t="s">
        <v>1082</v>
      </c>
      <c r="L18" s="202" t="s">
        <v>1074</v>
      </c>
      <c r="M18" s="202" t="s">
        <v>1083</v>
      </c>
      <c r="N18" s="202" t="s">
        <v>1083</v>
      </c>
      <c r="O18" s="202" t="s">
        <v>1054</v>
      </c>
      <c r="P18" s="202" t="s">
        <v>1054</v>
      </c>
      <c r="Q18" s="202" t="s">
        <v>1083</v>
      </c>
      <c r="R18" s="203" t="s">
        <v>1049</v>
      </c>
      <c r="S18" s="1"/>
      <c r="U18" s="200" t="s">
        <v>1014</v>
      </c>
      <c r="V18" s="201" t="s">
        <v>980</v>
      </c>
      <c r="W18" s="202" t="s">
        <v>1063</v>
      </c>
      <c r="X18" s="202" t="s">
        <v>1054</v>
      </c>
      <c r="Y18" s="202" t="s">
        <v>980</v>
      </c>
      <c r="Z18" s="202" t="s">
        <v>1059</v>
      </c>
      <c r="AA18" s="202" t="s">
        <v>1049</v>
      </c>
      <c r="AB18" s="202" t="s">
        <v>1048</v>
      </c>
      <c r="AC18" s="202" t="s">
        <v>1055</v>
      </c>
      <c r="AD18" s="202" t="s">
        <v>1082</v>
      </c>
      <c r="AE18" s="202" t="s">
        <v>1074</v>
      </c>
      <c r="AF18" s="202" t="s">
        <v>1083</v>
      </c>
      <c r="AG18" s="202" t="s">
        <v>1083</v>
      </c>
      <c r="AH18" s="202" t="s">
        <v>1054</v>
      </c>
      <c r="AI18" s="202" t="s">
        <v>1054</v>
      </c>
      <c r="AJ18" s="202" t="s">
        <v>1083</v>
      </c>
      <c r="AK18" s="203" t="s">
        <v>1049</v>
      </c>
      <c r="AL18" s="1"/>
    </row>
    <row r="19" spans="2:38" ht="12.75" customHeight="1" x14ac:dyDescent="0.25">
      <c r="B19" s="200" t="s">
        <v>1015</v>
      </c>
      <c r="C19" s="204" t="s">
        <v>1055</v>
      </c>
      <c r="D19" s="205" t="s">
        <v>1056</v>
      </c>
      <c r="E19" s="205" t="s">
        <v>1056</v>
      </c>
      <c r="F19" s="205" t="s">
        <v>1058</v>
      </c>
      <c r="G19" s="205" t="s">
        <v>1084</v>
      </c>
      <c r="H19" s="205" t="s">
        <v>1085</v>
      </c>
      <c r="I19" s="205" t="s">
        <v>1058</v>
      </c>
      <c r="J19" s="205" t="s">
        <v>1058</v>
      </c>
      <c r="K19" s="205" t="s">
        <v>1058</v>
      </c>
      <c r="L19" s="205" t="s">
        <v>1058</v>
      </c>
      <c r="M19" s="205" t="s">
        <v>1086</v>
      </c>
      <c r="N19" s="205" t="s">
        <v>1085</v>
      </c>
      <c r="O19" s="205" t="s">
        <v>1058</v>
      </c>
      <c r="P19" s="205" t="s">
        <v>1087</v>
      </c>
      <c r="Q19" s="205" t="s">
        <v>1088</v>
      </c>
      <c r="R19" s="206" t="s">
        <v>1050</v>
      </c>
      <c r="S19" s="1"/>
      <c r="U19" s="200" t="s">
        <v>1015</v>
      </c>
      <c r="V19" s="204" t="s">
        <v>1055</v>
      </c>
      <c r="W19" s="205" t="s">
        <v>1056</v>
      </c>
      <c r="X19" s="205" t="s">
        <v>1056</v>
      </c>
      <c r="Y19" s="205" t="s">
        <v>1058</v>
      </c>
      <c r="Z19" s="205" t="s">
        <v>1084</v>
      </c>
      <c r="AA19" s="205" t="s">
        <v>1085</v>
      </c>
      <c r="AB19" s="205" t="s">
        <v>1058</v>
      </c>
      <c r="AC19" s="205" t="s">
        <v>1058</v>
      </c>
      <c r="AD19" s="205" t="s">
        <v>1058</v>
      </c>
      <c r="AE19" s="205" t="s">
        <v>1058</v>
      </c>
      <c r="AF19" s="205" t="s">
        <v>1086</v>
      </c>
      <c r="AG19" s="205" t="s">
        <v>1085</v>
      </c>
      <c r="AH19" s="205" t="s">
        <v>1058</v>
      </c>
      <c r="AI19" s="205" t="s">
        <v>1087</v>
      </c>
      <c r="AJ19" s="205" t="s">
        <v>1088</v>
      </c>
      <c r="AK19" s="206" t="s">
        <v>1050</v>
      </c>
      <c r="AL19" s="1"/>
    </row>
    <row r="20" spans="2:38" ht="12.75" customHeight="1" x14ac:dyDescent="0.25">
      <c r="B20" s="200" t="s">
        <v>1016</v>
      </c>
      <c r="C20" s="204" t="s">
        <v>1055</v>
      </c>
      <c r="D20" s="205" t="s">
        <v>1056</v>
      </c>
      <c r="E20" s="205" t="s">
        <v>1056</v>
      </c>
      <c r="F20" s="205" t="s">
        <v>1058</v>
      </c>
      <c r="G20" s="205" t="s">
        <v>1084</v>
      </c>
      <c r="H20" s="205" t="s">
        <v>1085</v>
      </c>
      <c r="I20" s="205" t="s">
        <v>1058</v>
      </c>
      <c r="J20" s="205" t="s">
        <v>1058</v>
      </c>
      <c r="K20" s="205" t="s">
        <v>1058</v>
      </c>
      <c r="L20" s="205" t="s">
        <v>1058</v>
      </c>
      <c r="M20" s="205" t="s">
        <v>1086</v>
      </c>
      <c r="N20" s="205" t="s">
        <v>1085</v>
      </c>
      <c r="O20" s="205" t="s">
        <v>1058</v>
      </c>
      <c r="P20" s="205" t="s">
        <v>1087</v>
      </c>
      <c r="Q20" s="205" t="s">
        <v>1077</v>
      </c>
      <c r="R20" s="206" t="s">
        <v>1050</v>
      </c>
      <c r="S20" s="1"/>
      <c r="U20" s="200" t="s">
        <v>1016</v>
      </c>
      <c r="V20" s="204" t="s">
        <v>1055</v>
      </c>
      <c r="W20" s="205" t="s">
        <v>1056</v>
      </c>
      <c r="X20" s="205" t="s">
        <v>1056</v>
      </c>
      <c r="Y20" s="205" t="s">
        <v>1058</v>
      </c>
      <c r="Z20" s="205" t="s">
        <v>1084</v>
      </c>
      <c r="AA20" s="205" t="s">
        <v>1085</v>
      </c>
      <c r="AB20" s="205" t="s">
        <v>1058</v>
      </c>
      <c r="AC20" s="205" t="s">
        <v>1058</v>
      </c>
      <c r="AD20" s="205" t="s">
        <v>1058</v>
      </c>
      <c r="AE20" s="205" t="s">
        <v>1058</v>
      </c>
      <c r="AF20" s="205" t="s">
        <v>1086</v>
      </c>
      <c r="AG20" s="205" t="s">
        <v>1085</v>
      </c>
      <c r="AH20" s="205" t="s">
        <v>1058</v>
      </c>
      <c r="AI20" s="205" t="s">
        <v>1087</v>
      </c>
      <c r="AJ20" s="205" t="s">
        <v>1077</v>
      </c>
      <c r="AK20" s="206" t="s">
        <v>1050</v>
      </c>
      <c r="AL20" s="1"/>
    </row>
    <row r="21" spans="2:38" ht="12.75" customHeight="1" x14ac:dyDescent="0.25">
      <c r="B21" s="200" t="s">
        <v>1017</v>
      </c>
      <c r="C21" s="204" t="s">
        <v>1060</v>
      </c>
      <c r="D21" s="205" t="s">
        <v>1056</v>
      </c>
      <c r="E21" s="205" t="s">
        <v>1089</v>
      </c>
      <c r="F21" s="205" t="s">
        <v>1090</v>
      </c>
      <c r="G21" s="205" t="s">
        <v>1091</v>
      </c>
      <c r="H21" s="205" t="s">
        <v>1092</v>
      </c>
      <c r="I21" s="205" t="s">
        <v>1093</v>
      </c>
      <c r="J21" s="205" t="s">
        <v>1078</v>
      </c>
      <c r="K21" s="205" t="s">
        <v>1094</v>
      </c>
      <c r="L21" s="205" t="s">
        <v>1066</v>
      </c>
      <c r="M21" s="205" t="s">
        <v>1095</v>
      </c>
      <c r="N21" s="205" t="s">
        <v>1058</v>
      </c>
      <c r="O21" s="205" t="s">
        <v>1056</v>
      </c>
      <c r="P21" s="205" t="s">
        <v>1058</v>
      </c>
      <c r="Q21" s="205" t="s">
        <v>1065</v>
      </c>
      <c r="R21" s="206" t="s">
        <v>1096</v>
      </c>
      <c r="S21" s="1"/>
      <c r="U21" s="200" t="s">
        <v>1017</v>
      </c>
      <c r="V21" s="204" t="s">
        <v>1060</v>
      </c>
      <c r="W21" s="205" t="s">
        <v>1056</v>
      </c>
      <c r="X21" s="205" t="s">
        <v>1089</v>
      </c>
      <c r="Y21" s="205" t="s">
        <v>1090</v>
      </c>
      <c r="Z21" s="205" t="s">
        <v>1091</v>
      </c>
      <c r="AA21" s="205" t="s">
        <v>1092</v>
      </c>
      <c r="AB21" s="205" t="s">
        <v>1093</v>
      </c>
      <c r="AC21" s="205" t="s">
        <v>1078</v>
      </c>
      <c r="AD21" s="205" t="s">
        <v>1094</v>
      </c>
      <c r="AE21" s="205" t="s">
        <v>1066</v>
      </c>
      <c r="AF21" s="205" t="s">
        <v>1095</v>
      </c>
      <c r="AG21" s="205" t="s">
        <v>1058</v>
      </c>
      <c r="AH21" s="205" t="s">
        <v>1056</v>
      </c>
      <c r="AI21" s="205" t="s">
        <v>1058</v>
      </c>
      <c r="AJ21" s="205" t="s">
        <v>1065</v>
      </c>
      <c r="AK21" s="206" t="s">
        <v>1096</v>
      </c>
      <c r="AL21" s="1"/>
    </row>
    <row r="22" spans="2:38" ht="12.75" customHeight="1" x14ac:dyDescent="0.25">
      <c r="B22" s="200" t="s">
        <v>1018</v>
      </c>
      <c r="C22" s="204" t="s">
        <v>1060</v>
      </c>
      <c r="D22" s="205" t="s">
        <v>1056</v>
      </c>
      <c r="E22" s="205" t="s">
        <v>1089</v>
      </c>
      <c r="F22" s="205" t="s">
        <v>1090</v>
      </c>
      <c r="G22" s="205" t="s">
        <v>1091</v>
      </c>
      <c r="H22" s="205" t="s">
        <v>1092</v>
      </c>
      <c r="I22" s="205" t="s">
        <v>1093</v>
      </c>
      <c r="J22" s="205" t="s">
        <v>1078</v>
      </c>
      <c r="K22" s="205" t="s">
        <v>1094</v>
      </c>
      <c r="L22" s="205" t="s">
        <v>1066</v>
      </c>
      <c r="M22" s="205" t="s">
        <v>1095</v>
      </c>
      <c r="N22" s="205" t="s">
        <v>1058</v>
      </c>
      <c r="O22" s="205" t="s">
        <v>1056</v>
      </c>
      <c r="P22" s="205" t="s">
        <v>1058</v>
      </c>
      <c r="Q22" s="205" t="s">
        <v>1097</v>
      </c>
      <c r="R22" s="206" t="s">
        <v>1096</v>
      </c>
      <c r="S22" s="1"/>
      <c r="U22" s="200" t="s">
        <v>1018</v>
      </c>
      <c r="V22" s="204" t="s">
        <v>1060</v>
      </c>
      <c r="W22" s="205" t="s">
        <v>1056</v>
      </c>
      <c r="X22" s="205" t="s">
        <v>1089</v>
      </c>
      <c r="Y22" s="205" t="s">
        <v>1090</v>
      </c>
      <c r="Z22" s="205" t="s">
        <v>1091</v>
      </c>
      <c r="AA22" s="205" t="s">
        <v>1092</v>
      </c>
      <c r="AB22" s="205" t="s">
        <v>1093</v>
      </c>
      <c r="AC22" s="205" t="s">
        <v>1078</v>
      </c>
      <c r="AD22" s="205" t="s">
        <v>1094</v>
      </c>
      <c r="AE22" s="205" t="s">
        <v>1066</v>
      </c>
      <c r="AF22" s="205" t="s">
        <v>1095</v>
      </c>
      <c r="AG22" s="205" t="s">
        <v>1058</v>
      </c>
      <c r="AH22" s="205" t="s">
        <v>1056</v>
      </c>
      <c r="AI22" s="205" t="s">
        <v>1058</v>
      </c>
      <c r="AJ22" s="205" t="s">
        <v>1097</v>
      </c>
      <c r="AK22" s="206" t="s">
        <v>1096</v>
      </c>
      <c r="AL22" s="1"/>
    </row>
    <row r="23" spans="2:38" ht="12.75" customHeight="1" x14ac:dyDescent="0.25">
      <c r="B23" s="200" t="s">
        <v>1019</v>
      </c>
      <c r="C23" s="204" t="s">
        <v>1061</v>
      </c>
      <c r="D23" s="205" t="s">
        <v>1057</v>
      </c>
      <c r="E23" s="205" t="s">
        <v>1079</v>
      </c>
      <c r="F23" s="205" t="s">
        <v>1057</v>
      </c>
      <c r="G23" s="205" t="s">
        <v>1085</v>
      </c>
      <c r="H23" s="205" t="s">
        <v>1056</v>
      </c>
      <c r="I23" s="205" t="s">
        <v>1060</v>
      </c>
      <c r="J23" s="205" t="s">
        <v>1058</v>
      </c>
      <c r="K23" s="205" t="s">
        <v>1095</v>
      </c>
      <c r="L23" s="205" t="s">
        <v>1060</v>
      </c>
      <c r="M23" s="205" t="s">
        <v>1098</v>
      </c>
      <c r="N23" s="205" t="s">
        <v>1080</v>
      </c>
      <c r="O23" s="205" t="s">
        <v>1061</v>
      </c>
      <c r="P23" s="205" t="s">
        <v>1058</v>
      </c>
      <c r="Q23" s="205" t="s">
        <v>1099</v>
      </c>
      <c r="R23" s="206" t="s">
        <v>1050</v>
      </c>
      <c r="S23" s="1"/>
      <c r="U23" s="200" t="s">
        <v>1019</v>
      </c>
      <c r="V23" s="204" t="s">
        <v>1061</v>
      </c>
      <c r="W23" s="205" t="s">
        <v>1057</v>
      </c>
      <c r="X23" s="205" t="s">
        <v>1079</v>
      </c>
      <c r="Y23" s="205" t="s">
        <v>1057</v>
      </c>
      <c r="Z23" s="205" t="s">
        <v>1085</v>
      </c>
      <c r="AA23" s="205" t="s">
        <v>1056</v>
      </c>
      <c r="AB23" s="205" t="s">
        <v>1060</v>
      </c>
      <c r="AC23" s="205" t="s">
        <v>1058</v>
      </c>
      <c r="AD23" s="205" t="s">
        <v>1095</v>
      </c>
      <c r="AE23" s="205" t="s">
        <v>1060</v>
      </c>
      <c r="AF23" s="205" t="s">
        <v>1098</v>
      </c>
      <c r="AG23" s="205" t="s">
        <v>1080</v>
      </c>
      <c r="AH23" s="205" t="s">
        <v>1061</v>
      </c>
      <c r="AI23" s="205" t="s">
        <v>1058</v>
      </c>
      <c r="AJ23" s="205" t="s">
        <v>1099</v>
      </c>
      <c r="AK23" s="206" t="s">
        <v>1050</v>
      </c>
      <c r="AL23" s="1"/>
    </row>
    <row r="24" spans="2:38" ht="12.75" customHeight="1" x14ac:dyDescent="0.25">
      <c r="B24" s="200" t="s">
        <v>1020</v>
      </c>
      <c r="C24" s="204" t="s">
        <v>1058</v>
      </c>
      <c r="D24" s="205" t="s">
        <v>1058</v>
      </c>
      <c r="E24" s="205" t="s">
        <v>1100</v>
      </c>
      <c r="F24" s="205" t="s">
        <v>1053</v>
      </c>
      <c r="G24" s="205" t="s">
        <v>1101</v>
      </c>
      <c r="H24" s="205" t="s">
        <v>1052</v>
      </c>
      <c r="I24" s="205" t="s">
        <v>1058</v>
      </c>
      <c r="J24" s="205" t="s">
        <v>1058</v>
      </c>
      <c r="K24" s="205" t="s">
        <v>1058</v>
      </c>
      <c r="L24" s="205" t="s">
        <v>1058</v>
      </c>
      <c r="M24" s="205" t="s">
        <v>1058</v>
      </c>
      <c r="N24" s="205" t="s">
        <v>1058</v>
      </c>
      <c r="O24" s="205" t="s">
        <v>1058</v>
      </c>
      <c r="P24" s="205" t="s">
        <v>1058</v>
      </c>
      <c r="Q24" s="205" t="s">
        <v>1088</v>
      </c>
      <c r="R24" s="206" t="s">
        <v>1048</v>
      </c>
      <c r="S24" s="1"/>
      <c r="U24" s="200" t="s">
        <v>1020</v>
      </c>
      <c r="V24" s="204" t="s">
        <v>1058</v>
      </c>
      <c r="W24" s="205" t="s">
        <v>1058</v>
      </c>
      <c r="X24" s="205" t="s">
        <v>1100</v>
      </c>
      <c r="Y24" s="205" t="s">
        <v>1053</v>
      </c>
      <c r="Z24" s="205" t="s">
        <v>1101</v>
      </c>
      <c r="AA24" s="205" t="s">
        <v>1052</v>
      </c>
      <c r="AB24" s="205" t="s">
        <v>1058</v>
      </c>
      <c r="AC24" s="205" t="s">
        <v>1058</v>
      </c>
      <c r="AD24" s="205" t="s">
        <v>1058</v>
      </c>
      <c r="AE24" s="205" t="s">
        <v>1058</v>
      </c>
      <c r="AF24" s="205" t="s">
        <v>1058</v>
      </c>
      <c r="AG24" s="205" t="s">
        <v>1058</v>
      </c>
      <c r="AH24" s="205" t="s">
        <v>1058</v>
      </c>
      <c r="AI24" s="205" t="s">
        <v>1058</v>
      </c>
      <c r="AJ24" s="205" t="s">
        <v>1088</v>
      </c>
      <c r="AK24" s="206" t="s">
        <v>1048</v>
      </c>
      <c r="AL24" s="1"/>
    </row>
    <row r="25" spans="2:38" ht="12.75" customHeight="1" x14ac:dyDescent="0.25">
      <c r="B25" s="200" t="s">
        <v>1021</v>
      </c>
      <c r="C25" s="204" t="s">
        <v>1055</v>
      </c>
      <c r="D25" s="205" t="s">
        <v>1060</v>
      </c>
      <c r="E25" s="205" t="s">
        <v>1056</v>
      </c>
      <c r="F25" s="205" t="s">
        <v>1060</v>
      </c>
      <c r="G25" s="205" t="s">
        <v>1055</v>
      </c>
      <c r="H25" s="205" t="s">
        <v>1058</v>
      </c>
      <c r="I25" s="205" t="s">
        <v>1058</v>
      </c>
      <c r="J25" s="205" t="s">
        <v>1055</v>
      </c>
      <c r="K25" s="205" t="s">
        <v>1058</v>
      </c>
      <c r="L25" s="205" t="s">
        <v>1058</v>
      </c>
      <c r="M25" s="205" t="s">
        <v>1099</v>
      </c>
      <c r="N25" s="205" t="s">
        <v>1102</v>
      </c>
      <c r="O25" s="205" t="s">
        <v>1058</v>
      </c>
      <c r="P25" s="205" t="s">
        <v>1058</v>
      </c>
      <c r="Q25" s="205" t="s">
        <v>1103</v>
      </c>
      <c r="R25" s="206" t="s">
        <v>1070</v>
      </c>
      <c r="S25" s="1"/>
      <c r="U25" s="200" t="s">
        <v>1021</v>
      </c>
      <c r="V25" s="204" t="s">
        <v>1055</v>
      </c>
      <c r="W25" s="205" t="s">
        <v>1060</v>
      </c>
      <c r="X25" s="205" t="s">
        <v>1056</v>
      </c>
      <c r="Y25" s="205" t="s">
        <v>1060</v>
      </c>
      <c r="Z25" s="205" t="s">
        <v>1055</v>
      </c>
      <c r="AA25" s="205" t="s">
        <v>1058</v>
      </c>
      <c r="AB25" s="205" t="s">
        <v>1058</v>
      </c>
      <c r="AC25" s="205" t="s">
        <v>1055</v>
      </c>
      <c r="AD25" s="205" t="s">
        <v>1058</v>
      </c>
      <c r="AE25" s="205" t="s">
        <v>1058</v>
      </c>
      <c r="AF25" s="205" t="s">
        <v>1099</v>
      </c>
      <c r="AG25" s="205" t="s">
        <v>1102</v>
      </c>
      <c r="AH25" s="205" t="s">
        <v>1058</v>
      </c>
      <c r="AI25" s="205" t="s">
        <v>1058</v>
      </c>
      <c r="AJ25" s="205" t="s">
        <v>1103</v>
      </c>
      <c r="AK25" s="206" t="s">
        <v>1070</v>
      </c>
      <c r="AL25" s="1"/>
    </row>
    <row r="26" spans="2:38" ht="12.75" customHeight="1" x14ac:dyDescent="0.25">
      <c r="B26" s="200" t="s">
        <v>1022</v>
      </c>
      <c r="C26" s="204" t="s">
        <v>1055</v>
      </c>
      <c r="D26" s="205" t="s">
        <v>1060</v>
      </c>
      <c r="E26" s="205" t="s">
        <v>1056</v>
      </c>
      <c r="F26" s="205" t="s">
        <v>1060</v>
      </c>
      <c r="G26" s="205" t="s">
        <v>1055</v>
      </c>
      <c r="H26" s="205" t="s">
        <v>1058</v>
      </c>
      <c r="I26" s="205" t="s">
        <v>1058</v>
      </c>
      <c r="J26" s="205" t="s">
        <v>1055</v>
      </c>
      <c r="K26" s="205" t="s">
        <v>1058</v>
      </c>
      <c r="L26" s="205" t="s">
        <v>1058</v>
      </c>
      <c r="M26" s="205" t="s">
        <v>1099</v>
      </c>
      <c r="N26" s="205" t="s">
        <v>1102</v>
      </c>
      <c r="O26" s="205" t="s">
        <v>1058</v>
      </c>
      <c r="P26" s="205" t="s">
        <v>1058</v>
      </c>
      <c r="Q26" s="205" t="s">
        <v>1103</v>
      </c>
      <c r="R26" s="206" t="s">
        <v>1070</v>
      </c>
      <c r="S26" s="1"/>
      <c r="U26" s="200" t="s">
        <v>1022</v>
      </c>
      <c r="V26" s="204" t="s">
        <v>1055</v>
      </c>
      <c r="W26" s="205" t="s">
        <v>1060</v>
      </c>
      <c r="X26" s="205" t="s">
        <v>1056</v>
      </c>
      <c r="Y26" s="205" t="s">
        <v>1060</v>
      </c>
      <c r="Z26" s="205" t="s">
        <v>1055</v>
      </c>
      <c r="AA26" s="205" t="s">
        <v>1058</v>
      </c>
      <c r="AB26" s="205" t="s">
        <v>1058</v>
      </c>
      <c r="AC26" s="205" t="s">
        <v>1055</v>
      </c>
      <c r="AD26" s="205" t="s">
        <v>1058</v>
      </c>
      <c r="AE26" s="205" t="s">
        <v>1058</v>
      </c>
      <c r="AF26" s="205" t="s">
        <v>1099</v>
      </c>
      <c r="AG26" s="205" t="s">
        <v>1102</v>
      </c>
      <c r="AH26" s="205" t="s">
        <v>1058</v>
      </c>
      <c r="AI26" s="205" t="s">
        <v>1058</v>
      </c>
      <c r="AJ26" s="205" t="s">
        <v>1103</v>
      </c>
      <c r="AK26" s="206" t="s">
        <v>1070</v>
      </c>
      <c r="AL26" s="1"/>
    </row>
    <row r="27" spans="2:38" ht="12.75" customHeight="1" x14ac:dyDescent="0.25">
      <c r="B27" s="200" t="s">
        <v>1023</v>
      </c>
      <c r="C27" s="204" t="s">
        <v>1058</v>
      </c>
      <c r="D27" s="205" t="s">
        <v>1064</v>
      </c>
      <c r="E27" s="205" t="s">
        <v>1064</v>
      </c>
      <c r="F27" s="205" t="s">
        <v>1064</v>
      </c>
      <c r="G27" s="205" t="s">
        <v>1064</v>
      </c>
      <c r="H27" s="205" t="s">
        <v>1058</v>
      </c>
      <c r="I27" s="205" t="s">
        <v>1058</v>
      </c>
      <c r="J27" s="205" t="s">
        <v>1064</v>
      </c>
      <c r="K27" s="205" t="s">
        <v>1058</v>
      </c>
      <c r="L27" s="205" t="s">
        <v>1064</v>
      </c>
      <c r="M27" s="205" t="s">
        <v>1064</v>
      </c>
      <c r="N27" s="205" t="s">
        <v>1048</v>
      </c>
      <c r="O27" s="205" t="s">
        <v>1058</v>
      </c>
      <c r="P27" s="205" t="s">
        <v>1058</v>
      </c>
      <c r="Q27" s="205" t="s">
        <v>1065</v>
      </c>
      <c r="R27" s="206" t="s">
        <v>1051</v>
      </c>
      <c r="S27" s="1"/>
      <c r="U27" s="200" t="s">
        <v>1023</v>
      </c>
      <c r="V27" s="204" t="s">
        <v>1058</v>
      </c>
      <c r="W27" s="205" t="s">
        <v>1064</v>
      </c>
      <c r="X27" s="205" t="s">
        <v>1064</v>
      </c>
      <c r="Y27" s="205" t="s">
        <v>1064</v>
      </c>
      <c r="Z27" s="205" t="s">
        <v>1064</v>
      </c>
      <c r="AA27" s="205" t="s">
        <v>1058</v>
      </c>
      <c r="AB27" s="205" t="s">
        <v>1058</v>
      </c>
      <c r="AC27" s="205" t="s">
        <v>1064</v>
      </c>
      <c r="AD27" s="205" t="s">
        <v>1058</v>
      </c>
      <c r="AE27" s="205" t="s">
        <v>1064</v>
      </c>
      <c r="AF27" s="205" t="s">
        <v>1064</v>
      </c>
      <c r="AG27" s="205" t="s">
        <v>1048</v>
      </c>
      <c r="AH27" s="205" t="s">
        <v>1058</v>
      </c>
      <c r="AI27" s="205" t="s">
        <v>1058</v>
      </c>
      <c r="AJ27" s="205" t="s">
        <v>1065</v>
      </c>
      <c r="AK27" s="206" t="s">
        <v>1051</v>
      </c>
      <c r="AL27" s="1"/>
    </row>
    <row r="28" spans="2:38" ht="12.75" customHeight="1" x14ac:dyDescent="0.25">
      <c r="B28" s="200" t="s">
        <v>1024</v>
      </c>
      <c r="C28" s="204" t="s">
        <v>1058</v>
      </c>
      <c r="D28" s="205" t="s">
        <v>1064</v>
      </c>
      <c r="E28" s="205" t="s">
        <v>1064</v>
      </c>
      <c r="F28" s="205" t="s">
        <v>1064</v>
      </c>
      <c r="G28" s="205" t="s">
        <v>1064</v>
      </c>
      <c r="H28" s="205" t="s">
        <v>1058</v>
      </c>
      <c r="I28" s="205" t="s">
        <v>1058</v>
      </c>
      <c r="J28" s="205" t="s">
        <v>1064</v>
      </c>
      <c r="K28" s="205" t="s">
        <v>1058</v>
      </c>
      <c r="L28" s="205" t="s">
        <v>1064</v>
      </c>
      <c r="M28" s="205" t="s">
        <v>1064</v>
      </c>
      <c r="N28" s="205" t="s">
        <v>1048</v>
      </c>
      <c r="O28" s="205" t="s">
        <v>1058</v>
      </c>
      <c r="P28" s="205" t="s">
        <v>1058</v>
      </c>
      <c r="Q28" s="205" t="s">
        <v>1065</v>
      </c>
      <c r="R28" s="206" t="s">
        <v>1051</v>
      </c>
      <c r="S28" s="1"/>
      <c r="U28" s="200" t="s">
        <v>1024</v>
      </c>
      <c r="V28" s="204" t="s">
        <v>1058</v>
      </c>
      <c r="W28" s="205" t="s">
        <v>1064</v>
      </c>
      <c r="X28" s="205" t="s">
        <v>1064</v>
      </c>
      <c r="Y28" s="205" t="s">
        <v>1064</v>
      </c>
      <c r="Z28" s="205" t="s">
        <v>1064</v>
      </c>
      <c r="AA28" s="205" t="s">
        <v>1058</v>
      </c>
      <c r="AB28" s="205" t="s">
        <v>1058</v>
      </c>
      <c r="AC28" s="205" t="s">
        <v>1064</v>
      </c>
      <c r="AD28" s="205" t="s">
        <v>1058</v>
      </c>
      <c r="AE28" s="205" t="s">
        <v>1064</v>
      </c>
      <c r="AF28" s="205" t="s">
        <v>1064</v>
      </c>
      <c r="AG28" s="205" t="s">
        <v>1048</v>
      </c>
      <c r="AH28" s="205" t="s">
        <v>1058</v>
      </c>
      <c r="AI28" s="205" t="s">
        <v>1058</v>
      </c>
      <c r="AJ28" s="205" t="s">
        <v>1065</v>
      </c>
      <c r="AK28" s="206" t="s">
        <v>1051</v>
      </c>
      <c r="AL28" s="1"/>
    </row>
    <row r="29" spans="2:38" ht="12.75" customHeight="1" x14ac:dyDescent="0.25">
      <c r="B29" s="200" t="s">
        <v>1025</v>
      </c>
      <c r="C29" s="204" t="s">
        <v>1055</v>
      </c>
      <c r="D29" s="205" t="s">
        <v>1061</v>
      </c>
      <c r="E29" s="205" t="s">
        <v>1058</v>
      </c>
      <c r="F29" s="205" t="s">
        <v>1058</v>
      </c>
      <c r="G29" s="205" t="s">
        <v>980</v>
      </c>
      <c r="H29" s="205" t="s">
        <v>1104</v>
      </c>
      <c r="I29" s="205" t="s">
        <v>1105</v>
      </c>
      <c r="J29" s="205" t="s">
        <v>1104</v>
      </c>
      <c r="K29" s="205" t="s">
        <v>1049</v>
      </c>
      <c r="L29" s="205" t="s">
        <v>1049</v>
      </c>
      <c r="M29" s="205" t="s">
        <v>1056</v>
      </c>
      <c r="N29" s="205" t="s">
        <v>1058</v>
      </c>
      <c r="O29" s="205" t="s">
        <v>1058</v>
      </c>
      <c r="P29" s="205" t="s">
        <v>1058</v>
      </c>
      <c r="Q29" s="205" t="s">
        <v>1106</v>
      </c>
      <c r="R29" s="206" t="s">
        <v>1070</v>
      </c>
      <c r="S29" s="1"/>
      <c r="U29" s="200" t="s">
        <v>1025</v>
      </c>
      <c r="V29" s="204" t="s">
        <v>1055</v>
      </c>
      <c r="W29" s="205" t="s">
        <v>1061</v>
      </c>
      <c r="X29" s="205" t="s">
        <v>1058</v>
      </c>
      <c r="Y29" s="205" t="s">
        <v>1058</v>
      </c>
      <c r="Z29" s="205" t="s">
        <v>980</v>
      </c>
      <c r="AA29" s="205" t="s">
        <v>1104</v>
      </c>
      <c r="AB29" s="205" t="s">
        <v>1105</v>
      </c>
      <c r="AC29" s="205" t="s">
        <v>1104</v>
      </c>
      <c r="AD29" s="205" t="s">
        <v>1049</v>
      </c>
      <c r="AE29" s="205" t="s">
        <v>1049</v>
      </c>
      <c r="AF29" s="205" t="s">
        <v>1056</v>
      </c>
      <c r="AG29" s="205" t="s">
        <v>1058</v>
      </c>
      <c r="AH29" s="205" t="s">
        <v>1058</v>
      </c>
      <c r="AI29" s="205" t="s">
        <v>1058</v>
      </c>
      <c r="AJ29" s="205" t="s">
        <v>1106</v>
      </c>
      <c r="AK29" s="206" t="s">
        <v>1070</v>
      </c>
      <c r="AL29" s="1"/>
    </row>
    <row r="30" spans="2:38" ht="12.75" customHeight="1" x14ac:dyDescent="0.25">
      <c r="B30" s="200" t="s">
        <v>1026</v>
      </c>
      <c r="C30" s="204" t="s">
        <v>1055</v>
      </c>
      <c r="D30" s="205" t="s">
        <v>1061</v>
      </c>
      <c r="E30" s="205" t="s">
        <v>1058</v>
      </c>
      <c r="F30" s="205" t="s">
        <v>1058</v>
      </c>
      <c r="G30" s="205" t="s">
        <v>980</v>
      </c>
      <c r="H30" s="205" t="s">
        <v>1104</v>
      </c>
      <c r="I30" s="205" t="s">
        <v>1105</v>
      </c>
      <c r="J30" s="205" t="s">
        <v>1104</v>
      </c>
      <c r="K30" s="205" t="s">
        <v>1049</v>
      </c>
      <c r="L30" s="205" t="s">
        <v>1049</v>
      </c>
      <c r="M30" s="205" t="s">
        <v>1056</v>
      </c>
      <c r="N30" s="205" t="s">
        <v>1058</v>
      </c>
      <c r="O30" s="205" t="s">
        <v>1058</v>
      </c>
      <c r="P30" s="205" t="s">
        <v>1058</v>
      </c>
      <c r="Q30" s="205" t="s">
        <v>1106</v>
      </c>
      <c r="R30" s="206" t="s">
        <v>1070</v>
      </c>
      <c r="S30" s="1"/>
      <c r="U30" s="200" t="s">
        <v>1026</v>
      </c>
      <c r="V30" s="204" t="s">
        <v>1055</v>
      </c>
      <c r="W30" s="205" t="s">
        <v>1061</v>
      </c>
      <c r="X30" s="205" t="s">
        <v>1058</v>
      </c>
      <c r="Y30" s="205" t="s">
        <v>1058</v>
      </c>
      <c r="Z30" s="205" t="s">
        <v>980</v>
      </c>
      <c r="AA30" s="205" t="s">
        <v>1104</v>
      </c>
      <c r="AB30" s="205" t="s">
        <v>1105</v>
      </c>
      <c r="AC30" s="205" t="s">
        <v>1104</v>
      </c>
      <c r="AD30" s="205" t="s">
        <v>1049</v>
      </c>
      <c r="AE30" s="205" t="s">
        <v>1049</v>
      </c>
      <c r="AF30" s="205" t="s">
        <v>1056</v>
      </c>
      <c r="AG30" s="205" t="s">
        <v>1058</v>
      </c>
      <c r="AH30" s="205" t="s">
        <v>1058</v>
      </c>
      <c r="AI30" s="205" t="s">
        <v>1058</v>
      </c>
      <c r="AJ30" s="205" t="s">
        <v>1106</v>
      </c>
      <c r="AK30" s="206" t="s">
        <v>1070</v>
      </c>
      <c r="AL30" s="1"/>
    </row>
    <row r="31" spans="2:38" ht="12.75" customHeight="1" x14ac:dyDescent="0.25">
      <c r="B31" s="200" t="s">
        <v>1027</v>
      </c>
      <c r="C31" s="204" t="s">
        <v>1049</v>
      </c>
      <c r="D31" s="205" t="s">
        <v>1074</v>
      </c>
      <c r="E31" s="205" t="s">
        <v>1092</v>
      </c>
      <c r="F31" s="205" t="s">
        <v>1049</v>
      </c>
      <c r="G31" s="205" t="s">
        <v>1107</v>
      </c>
      <c r="H31" s="205" t="s">
        <v>1108</v>
      </c>
      <c r="I31" s="205" t="s">
        <v>1107</v>
      </c>
      <c r="J31" s="205" t="s">
        <v>1067</v>
      </c>
      <c r="K31" s="205" t="s">
        <v>1067</v>
      </c>
      <c r="L31" s="205" t="s">
        <v>1063</v>
      </c>
      <c r="M31" s="205" t="s">
        <v>1063</v>
      </c>
      <c r="N31" s="205" t="s">
        <v>1107</v>
      </c>
      <c r="O31" s="205" t="s">
        <v>1105</v>
      </c>
      <c r="P31" s="205" t="s">
        <v>1056</v>
      </c>
      <c r="Q31" s="205" t="s">
        <v>1109</v>
      </c>
      <c r="R31" s="206" t="s">
        <v>1096</v>
      </c>
      <c r="S31" s="1"/>
      <c r="U31" s="200" t="s">
        <v>1027</v>
      </c>
      <c r="V31" s="204" t="s">
        <v>1049</v>
      </c>
      <c r="W31" s="205" t="s">
        <v>1074</v>
      </c>
      <c r="X31" s="205" t="s">
        <v>1092</v>
      </c>
      <c r="Y31" s="205" t="s">
        <v>1049</v>
      </c>
      <c r="Z31" s="205" t="s">
        <v>1107</v>
      </c>
      <c r="AA31" s="205" t="s">
        <v>1108</v>
      </c>
      <c r="AB31" s="205" t="s">
        <v>1107</v>
      </c>
      <c r="AC31" s="205" t="s">
        <v>1067</v>
      </c>
      <c r="AD31" s="205" t="s">
        <v>1067</v>
      </c>
      <c r="AE31" s="205" t="s">
        <v>1063</v>
      </c>
      <c r="AF31" s="205" t="s">
        <v>1063</v>
      </c>
      <c r="AG31" s="205" t="s">
        <v>1107</v>
      </c>
      <c r="AH31" s="205" t="s">
        <v>1105</v>
      </c>
      <c r="AI31" s="205" t="s">
        <v>1056</v>
      </c>
      <c r="AJ31" s="205" t="s">
        <v>1109</v>
      </c>
      <c r="AK31" s="206" t="s">
        <v>1096</v>
      </c>
      <c r="AL31" s="1"/>
    </row>
    <row r="32" spans="2:38" ht="12.75" customHeight="1" x14ac:dyDescent="0.25">
      <c r="B32" s="200" t="s">
        <v>1028</v>
      </c>
      <c r="C32" s="204" t="s">
        <v>1049</v>
      </c>
      <c r="D32" s="205" t="s">
        <v>1074</v>
      </c>
      <c r="E32" s="205" t="s">
        <v>1092</v>
      </c>
      <c r="F32" s="205" t="s">
        <v>1049</v>
      </c>
      <c r="G32" s="205" t="s">
        <v>1107</v>
      </c>
      <c r="H32" s="205" t="s">
        <v>1108</v>
      </c>
      <c r="I32" s="205" t="s">
        <v>1107</v>
      </c>
      <c r="J32" s="205" t="s">
        <v>1067</v>
      </c>
      <c r="K32" s="205" t="s">
        <v>1067</v>
      </c>
      <c r="L32" s="205" t="s">
        <v>1063</v>
      </c>
      <c r="M32" s="205" t="s">
        <v>1063</v>
      </c>
      <c r="N32" s="205" t="s">
        <v>1107</v>
      </c>
      <c r="O32" s="205" t="s">
        <v>1105</v>
      </c>
      <c r="P32" s="205" t="s">
        <v>1056</v>
      </c>
      <c r="Q32" s="205" t="s">
        <v>1109</v>
      </c>
      <c r="R32" s="206" t="s">
        <v>1096</v>
      </c>
      <c r="S32" s="1"/>
      <c r="U32" s="200" t="s">
        <v>1028</v>
      </c>
      <c r="V32" s="204" t="s">
        <v>1049</v>
      </c>
      <c r="W32" s="205" t="s">
        <v>1074</v>
      </c>
      <c r="X32" s="205" t="s">
        <v>1092</v>
      </c>
      <c r="Y32" s="205" t="s">
        <v>1049</v>
      </c>
      <c r="Z32" s="205" t="s">
        <v>1107</v>
      </c>
      <c r="AA32" s="205" t="s">
        <v>1108</v>
      </c>
      <c r="AB32" s="205" t="s">
        <v>1107</v>
      </c>
      <c r="AC32" s="205" t="s">
        <v>1067</v>
      </c>
      <c r="AD32" s="205" t="s">
        <v>1067</v>
      </c>
      <c r="AE32" s="205" t="s">
        <v>1063</v>
      </c>
      <c r="AF32" s="205" t="s">
        <v>1063</v>
      </c>
      <c r="AG32" s="205" t="s">
        <v>1107</v>
      </c>
      <c r="AH32" s="205" t="s">
        <v>1105</v>
      </c>
      <c r="AI32" s="205" t="s">
        <v>1056</v>
      </c>
      <c r="AJ32" s="205" t="s">
        <v>1109</v>
      </c>
      <c r="AK32" s="206" t="s">
        <v>1096</v>
      </c>
      <c r="AL32" s="1"/>
    </row>
    <row r="33" spans="2:38" ht="12.75" customHeight="1" x14ac:dyDescent="0.25">
      <c r="B33" s="200" t="s">
        <v>1029</v>
      </c>
      <c r="C33" s="204" t="s">
        <v>1104</v>
      </c>
      <c r="D33" s="205" t="s">
        <v>1049</v>
      </c>
      <c r="E33" s="205" t="s">
        <v>1067</v>
      </c>
      <c r="F33" s="205" t="s">
        <v>1049</v>
      </c>
      <c r="G33" s="205" t="s">
        <v>1054</v>
      </c>
      <c r="H33" s="205" t="s">
        <v>1084</v>
      </c>
      <c r="I33" s="205" t="s">
        <v>1110</v>
      </c>
      <c r="J33" s="205" t="s">
        <v>1110</v>
      </c>
      <c r="K33" s="205" t="s">
        <v>1054</v>
      </c>
      <c r="L33" s="205" t="s">
        <v>1083</v>
      </c>
      <c r="M33" s="205" t="s">
        <v>1111</v>
      </c>
      <c r="N33" s="205" t="s">
        <v>1062</v>
      </c>
      <c r="O33" s="205" t="s">
        <v>1063</v>
      </c>
      <c r="P33" s="205" t="s">
        <v>1056</v>
      </c>
      <c r="Q33" s="205" t="s">
        <v>1112</v>
      </c>
      <c r="R33" s="206" t="s">
        <v>1096</v>
      </c>
      <c r="S33" s="1"/>
      <c r="U33" s="200" t="s">
        <v>1029</v>
      </c>
      <c r="V33" s="204" t="s">
        <v>1104</v>
      </c>
      <c r="W33" s="205" t="s">
        <v>1049</v>
      </c>
      <c r="X33" s="205" t="s">
        <v>1067</v>
      </c>
      <c r="Y33" s="205" t="s">
        <v>1049</v>
      </c>
      <c r="Z33" s="205" t="s">
        <v>1054</v>
      </c>
      <c r="AA33" s="205" t="s">
        <v>1084</v>
      </c>
      <c r="AB33" s="205" t="s">
        <v>1110</v>
      </c>
      <c r="AC33" s="205" t="s">
        <v>1110</v>
      </c>
      <c r="AD33" s="205" t="s">
        <v>1054</v>
      </c>
      <c r="AE33" s="205" t="s">
        <v>1083</v>
      </c>
      <c r="AF33" s="205" t="s">
        <v>1111</v>
      </c>
      <c r="AG33" s="205" t="s">
        <v>1062</v>
      </c>
      <c r="AH33" s="205" t="s">
        <v>1063</v>
      </c>
      <c r="AI33" s="205" t="s">
        <v>1056</v>
      </c>
      <c r="AJ33" s="205" t="s">
        <v>1112</v>
      </c>
      <c r="AK33" s="206" t="s">
        <v>1096</v>
      </c>
      <c r="AL33" s="1"/>
    </row>
    <row r="34" spans="2:38" ht="12.75" customHeight="1" x14ac:dyDescent="0.25">
      <c r="B34" s="200" t="s">
        <v>1030</v>
      </c>
      <c r="C34" s="204" t="s">
        <v>1104</v>
      </c>
      <c r="D34" s="205" t="s">
        <v>1049</v>
      </c>
      <c r="E34" s="205" t="s">
        <v>1067</v>
      </c>
      <c r="F34" s="205" t="s">
        <v>1049</v>
      </c>
      <c r="G34" s="205" t="s">
        <v>1054</v>
      </c>
      <c r="H34" s="205" t="s">
        <v>1084</v>
      </c>
      <c r="I34" s="205" t="s">
        <v>1110</v>
      </c>
      <c r="J34" s="205" t="s">
        <v>1110</v>
      </c>
      <c r="K34" s="205" t="s">
        <v>1054</v>
      </c>
      <c r="L34" s="205" t="s">
        <v>1083</v>
      </c>
      <c r="M34" s="205" t="s">
        <v>1111</v>
      </c>
      <c r="N34" s="205" t="s">
        <v>1062</v>
      </c>
      <c r="O34" s="205" t="s">
        <v>1063</v>
      </c>
      <c r="P34" s="205" t="s">
        <v>1056</v>
      </c>
      <c r="Q34" s="205" t="s">
        <v>1112</v>
      </c>
      <c r="R34" s="206" t="s">
        <v>1096</v>
      </c>
      <c r="S34" s="1"/>
      <c r="U34" s="200" t="s">
        <v>1030</v>
      </c>
      <c r="V34" s="204" t="s">
        <v>1104</v>
      </c>
      <c r="W34" s="205" t="s">
        <v>1049</v>
      </c>
      <c r="X34" s="205" t="s">
        <v>1067</v>
      </c>
      <c r="Y34" s="205" t="s">
        <v>1049</v>
      </c>
      <c r="Z34" s="205" t="s">
        <v>1054</v>
      </c>
      <c r="AA34" s="205" t="s">
        <v>1084</v>
      </c>
      <c r="AB34" s="205" t="s">
        <v>1110</v>
      </c>
      <c r="AC34" s="205" t="s">
        <v>1110</v>
      </c>
      <c r="AD34" s="205" t="s">
        <v>1054</v>
      </c>
      <c r="AE34" s="205" t="s">
        <v>1083</v>
      </c>
      <c r="AF34" s="205" t="s">
        <v>1111</v>
      </c>
      <c r="AG34" s="205" t="s">
        <v>1062</v>
      </c>
      <c r="AH34" s="205" t="s">
        <v>1063</v>
      </c>
      <c r="AI34" s="205" t="s">
        <v>1056</v>
      </c>
      <c r="AJ34" s="205" t="s">
        <v>1112</v>
      </c>
      <c r="AK34" s="206" t="s">
        <v>1096</v>
      </c>
      <c r="AL34" s="1"/>
    </row>
    <row r="35" spans="2:38" ht="12.75" customHeight="1" x14ac:dyDescent="0.25">
      <c r="B35" s="200" t="s">
        <v>1031</v>
      </c>
      <c r="C35" s="204" t="s">
        <v>1058</v>
      </c>
      <c r="D35" s="205" t="s">
        <v>1058</v>
      </c>
      <c r="E35" s="205" t="s">
        <v>1113</v>
      </c>
      <c r="F35" s="205" t="s">
        <v>1113</v>
      </c>
      <c r="G35" s="205" t="s">
        <v>1103</v>
      </c>
      <c r="H35" s="205" t="s">
        <v>1096</v>
      </c>
      <c r="I35" s="205" t="s">
        <v>1058</v>
      </c>
      <c r="J35" s="205" t="s">
        <v>1058</v>
      </c>
      <c r="K35" s="205" t="s">
        <v>1058</v>
      </c>
      <c r="L35" s="205" t="s">
        <v>1058</v>
      </c>
      <c r="M35" s="205" t="s">
        <v>1058</v>
      </c>
      <c r="N35" s="205" t="s">
        <v>1058</v>
      </c>
      <c r="O35" s="205" t="s">
        <v>1058</v>
      </c>
      <c r="P35" s="205" t="s">
        <v>1058</v>
      </c>
      <c r="Q35" s="205" t="s">
        <v>1114</v>
      </c>
      <c r="R35" s="206" t="s">
        <v>1114</v>
      </c>
      <c r="S35" s="1"/>
      <c r="U35" s="200" t="s">
        <v>1031</v>
      </c>
      <c r="V35" s="204" t="s">
        <v>1058</v>
      </c>
      <c r="W35" s="205" t="s">
        <v>1058</v>
      </c>
      <c r="X35" s="205" t="s">
        <v>1113</v>
      </c>
      <c r="Y35" s="205" t="s">
        <v>1113</v>
      </c>
      <c r="Z35" s="205" t="s">
        <v>1103</v>
      </c>
      <c r="AA35" s="205" t="s">
        <v>1096</v>
      </c>
      <c r="AB35" s="205" t="s">
        <v>1058</v>
      </c>
      <c r="AC35" s="205" t="s">
        <v>1058</v>
      </c>
      <c r="AD35" s="205" t="s">
        <v>1058</v>
      </c>
      <c r="AE35" s="205" t="s">
        <v>1058</v>
      </c>
      <c r="AF35" s="205" t="s">
        <v>1058</v>
      </c>
      <c r="AG35" s="205" t="s">
        <v>1058</v>
      </c>
      <c r="AH35" s="205" t="s">
        <v>1058</v>
      </c>
      <c r="AI35" s="205" t="s">
        <v>1058</v>
      </c>
      <c r="AJ35" s="205" t="s">
        <v>1114</v>
      </c>
      <c r="AK35" s="206" t="s">
        <v>1114</v>
      </c>
      <c r="AL35" s="1"/>
    </row>
    <row r="36" spans="2:38" ht="12.75" customHeight="1" x14ac:dyDescent="0.25">
      <c r="B36" s="200" t="s">
        <v>1032</v>
      </c>
      <c r="C36" s="204" t="s">
        <v>1048</v>
      </c>
      <c r="D36" s="205" t="s">
        <v>1048</v>
      </c>
      <c r="E36" s="205" t="s">
        <v>1048</v>
      </c>
      <c r="F36" s="205" t="s">
        <v>1048</v>
      </c>
      <c r="G36" s="205" t="s">
        <v>1048</v>
      </c>
      <c r="H36" s="205" t="s">
        <v>1048</v>
      </c>
      <c r="I36" s="205" t="s">
        <v>1048</v>
      </c>
      <c r="J36" s="205" t="s">
        <v>1048</v>
      </c>
      <c r="K36" s="205" t="s">
        <v>1048</v>
      </c>
      <c r="L36" s="205" t="s">
        <v>1048</v>
      </c>
      <c r="M36" s="205" t="s">
        <v>1048</v>
      </c>
      <c r="N36" s="205" t="s">
        <v>1048</v>
      </c>
      <c r="O36" s="205" t="s">
        <v>1048</v>
      </c>
      <c r="P36" s="205" t="s">
        <v>1048</v>
      </c>
      <c r="Q36" s="205" t="s">
        <v>1048</v>
      </c>
      <c r="R36" s="206" t="s">
        <v>1048</v>
      </c>
      <c r="S36" s="1"/>
      <c r="U36" s="200" t="s">
        <v>1032</v>
      </c>
      <c r="V36" s="204" t="s">
        <v>1048</v>
      </c>
      <c r="W36" s="205" t="s">
        <v>1048</v>
      </c>
      <c r="X36" s="205" t="s">
        <v>1048</v>
      </c>
      <c r="Y36" s="205" t="s">
        <v>1048</v>
      </c>
      <c r="Z36" s="205" t="s">
        <v>1048</v>
      </c>
      <c r="AA36" s="205" t="s">
        <v>1048</v>
      </c>
      <c r="AB36" s="205" t="s">
        <v>1048</v>
      </c>
      <c r="AC36" s="205" t="s">
        <v>1048</v>
      </c>
      <c r="AD36" s="205" t="s">
        <v>1048</v>
      </c>
      <c r="AE36" s="205" t="s">
        <v>1048</v>
      </c>
      <c r="AF36" s="205" t="s">
        <v>1048</v>
      </c>
      <c r="AG36" s="205" t="s">
        <v>1048</v>
      </c>
      <c r="AH36" s="205" t="s">
        <v>1048</v>
      </c>
      <c r="AI36" s="205" t="s">
        <v>1048</v>
      </c>
      <c r="AJ36" s="205" t="s">
        <v>1048</v>
      </c>
      <c r="AK36" s="206" t="s">
        <v>1048</v>
      </c>
      <c r="AL36" s="1"/>
    </row>
    <row r="37" spans="2:38" ht="12.75" customHeight="1" x14ac:dyDescent="0.25">
      <c r="B37" s="200" t="s">
        <v>1033</v>
      </c>
      <c r="C37" s="204" t="s">
        <v>1048</v>
      </c>
      <c r="D37" s="205" t="s">
        <v>1048</v>
      </c>
      <c r="E37" s="205" t="s">
        <v>1048</v>
      </c>
      <c r="F37" s="205" t="s">
        <v>1048</v>
      </c>
      <c r="G37" s="205" t="s">
        <v>1048</v>
      </c>
      <c r="H37" s="205" t="s">
        <v>1048</v>
      </c>
      <c r="I37" s="205" t="s">
        <v>1048</v>
      </c>
      <c r="J37" s="205" t="s">
        <v>1048</v>
      </c>
      <c r="K37" s="205" t="s">
        <v>1048</v>
      </c>
      <c r="L37" s="205" t="s">
        <v>1048</v>
      </c>
      <c r="M37" s="205" t="s">
        <v>1048</v>
      </c>
      <c r="N37" s="205" t="s">
        <v>1048</v>
      </c>
      <c r="O37" s="205" t="s">
        <v>1048</v>
      </c>
      <c r="P37" s="205" t="s">
        <v>1048</v>
      </c>
      <c r="Q37" s="205" t="s">
        <v>1048</v>
      </c>
      <c r="R37" s="206" t="s">
        <v>1048</v>
      </c>
      <c r="S37" s="1"/>
      <c r="U37" s="200" t="s">
        <v>1033</v>
      </c>
      <c r="V37" s="204" t="s">
        <v>1048</v>
      </c>
      <c r="W37" s="205" t="s">
        <v>1048</v>
      </c>
      <c r="X37" s="205" t="s">
        <v>1048</v>
      </c>
      <c r="Y37" s="205" t="s">
        <v>1048</v>
      </c>
      <c r="Z37" s="205" t="s">
        <v>1048</v>
      </c>
      <c r="AA37" s="205" t="s">
        <v>1048</v>
      </c>
      <c r="AB37" s="205" t="s">
        <v>1048</v>
      </c>
      <c r="AC37" s="205" t="s">
        <v>1048</v>
      </c>
      <c r="AD37" s="205" t="s">
        <v>1048</v>
      </c>
      <c r="AE37" s="205" t="s">
        <v>1048</v>
      </c>
      <c r="AF37" s="205" t="s">
        <v>1048</v>
      </c>
      <c r="AG37" s="205" t="s">
        <v>1048</v>
      </c>
      <c r="AH37" s="205" t="s">
        <v>1048</v>
      </c>
      <c r="AI37" s="205" t="s">
        <v>1048</v>
      </c>
      <c r="AJ37" s="205" t="s">
        <v>1048</v>
      </c>
      <c r="AK37" s="206" t="s">
        <v>1048</v>
      </c>
      <c r="AL37" s="1"/>
    </row>
    <row r="38" spans="2:38" ht="12.75" customHeight="1" x14ac:dyDescent="0.25">
      <c r="B38" s="200" t="s">
        <v>1034</v>
      </c>
      <c r="C38" s="204" t="s">
        <v>1048</v>
      </c>
      <c r="D38" s="205" t="s">
        <v>1048</v>
      </c>
      <c r="E38" s="205" t="s">
        <v>1048</v>
      </c>
      <c r="F38" s="205" t="s">
        <v>1048</v>
      </c>
      <c r="G38" s="205" t="s">
        <v>1048</v>
      </c>
      <c r="H38" s="205" t="s">
        <v>1048</v>
      </c>
      <c r="I38" s="205" t="s">
        <v>1048</v>
      </c>
      <c r="J38" s="205" t="s">
        <v>1048</v>
      </c>
      <c r="K38" s="205" t="s">
        <v>1048</v>
      </c>
      <c r="L38" s="205" t="s">
        <v>1048</v>
      </c>
      <c r="M38" s="205" t="s">
        <v>1048</v>
      </c>
      <c r="N38" s="205" t="s">
        <v>1048</v>
      </c>
      <c r="O38" s="205" t="s">
        <v>1048</v>
      </c>
      <c r="P38" s="205" t="s">
        <v>1048</v>
      </c>
      <c r="Q38" s="205" t="s">
        <v>1048</v>
      </c>
      <c r="R38" s="206" t="s">
        <v>1048</v>
      </c>
      <c r="S38" s="1"/>
      <c r="U38" s="200" t="s">
        <v>1034</v>
      </c>
      <c r="V38" s="204" t="s">
        <v>1048</v>
      </c>
      <c r="W38" s="205" t="s">
        <v>1048</v>
      </c>
      <c r="X38" s="205" t="s">
        <v>1048</v>
      </c>
      <c r="Y38" s="205" t="s">
        <v>1048</v>
      </c>
      <c r="Z38" s="205" t="s">
        <v>1048</v>
      </c>
      <c r="AA38" s="205" t="s">
        <v>1048</v>
      </c>
      <c r="AB38" s="205" t="s">
        <v>1048</v>
      </c>
      <c r="AC38" s="205" t="s">
        <v>1048</v>
      </c>
      <c r="AD38" s="205" t="s">
        <v>1048</v>
      </c>
      <c r="AE38" s="205" t="s">
        <v>1048</v>
      </c>
      <c r="AF38" s="205" t="s">
        <v>1048</v>
      </c>
      <c r="AG38" s="205" t="s">
        <v>1048</v>
      </c>
      <c r="AH38" s="205" t="s">
        <v>1048</v>
      </c>
      <c r="AI38" s="205" t="s">
        <v>1048</v>
      </c>
      <c r="AJ38" s="205" t="s">
        <v>1048</v>
      </c>
      <c r="AK38" s="206" t="s">
        <v>1048</v>
      </c>
      <c r="AL38" s="1"/>
    </row>
    <row r="39" spans="2:38" ht="12.75" customHeight="1" x14ac:dyDescent="0.25">
      <c r="B39" s="200" t="s">
        <v>1035</v>
      </c>
      <c r="C39" s="204" t="s">
        <v>1056</v>
      </c>
      <c r="D39" s="205" t="s">
        <v>1061</v>
      </c>
      <c r="E39" s="205" t="s">
        <v>1058</v>
      </c>
      <c r="F39" s="205" t="s">
        <v>1058</v>
      </c>
      <c r="G39" s="205" t="s">
        <v>1058</v>
      </c>
      <c r="H39" s="205" t="s">
        <v>1058</v>
      </c>
      <c r="I39" s="205" t="s">
        <v>1058</v>
      </c>
      <c r="J39" s="205" t="s">
        <v>1058</v>
      </c>
      <c r="K39" s="205" t="s">
        <v>1058</v>
      </c>
      <c r="L39" s="205" t="s">
        <v>1058</v>
      </c>
      <c r="M39" s="205" t="s">
        <v>1058</v>
      </c>
      <c r="N39" s="205" t="s">
        <v>1058</v>
      </c>
      <c r="O39" s="205" t="s">
        <v>1058</v>
      </c>
      <c r="P39" s="205" t="s">
        <v>1058</v>
      </c>
      <c r="Q39" s="205" t="s">
        <v>1115</v>
      </c>
      <c r="R39" s="206" t="s">
        <v>1048</v>
      </c>
      <c r="S39" s="1"/>
      <c r="U39" s="200" t="s">
        <v>1035</v>
      </c>
      <c r="V39" s="204" t="s">
        <v>1056</v>
      </c>
      <c r="W39" s="205" t="s">
        <v>1061</v>
      </c>
      <c r="X39" s="205" t="s">
        <v>1058</v>
      </c>
      <c r="Y39" s="205" t="s">
        <v>1058</v>
      </c>
      <c r="Z39" s="205" t="s">
        <v>1058</v>
      </c>
      <c r="AA39" s="205" t="s">
        <v>1058</v>
      </c>
      <c r="AB39" s="205" t="s">
        <v>1058</v>
      </c>
      <c r="AC39" s="205" t="s">
        <v>1058</v>
      </c>
      <c r="AD39" s="205" t="s">
        <v>1058</v>
      </c>
      <c r="AE39" s="205" t="s">
        <v>1058</v>
      </c>
      <c r="AF39" s="205" t="s">
        <v>1058</v>
      </c>
      <c r="AG39" s="205" t="s">
        <v>1058</v>
      </c>
      <c r="AH39" s="205" t="s">
        <v>1058</v>
      </c>
      <c r="AI39" s="205" t="s">
        <v>1058</v>
      </c>
      <c r="AJ39" s="205" t="s">
        <v>1115</v>
      </c>
      <c r="AK39" s="206" t="s">
        <v>1048</v>
      </c>
      <c r="AL39" s="1"/>
    </row>
    <row r="40" spans="2:38" ht="12.75" customHeight="1" x14ac:dyDescent="0.25">
      <c r="B40" s="200" t="s">
        <v>1036</v>
      </c>
      <c r="C40" s="204" t="s">
        <v>1058</v>
      </c>
      <c r="D40" s="205" t="s">
        <v>1058</v>
      </c>
      <c r="E40" s="205" t="s">
        <v>1058</v>
      </c>
      <c r="F40" s="205" t="s">
        <v>1058</v>
      </c>
      <c r="G40" s="205" t="s">
        <v>1058</v>
      </c>
      <c r="H40" s="205" t="s">
        <v>1058</v>
      </c>
      <c r="I40" s="205" t="s">
        <v>1058</v>
      </c>
      <c r="J40" s="205" t="s">
        <v>1058</v>
      </c>
      <c r="K40" s="205" t="s">
        <v>1058</v>
      </c>
      <c r="L40" s="205" t="s">
        <v>1058</v>
      </c>
      <c r="M40" s="205" t="s">
        <v>1058</v>
      </c>
      <c r="N40" s="205" t="s">
        <v>1058</v>
      </c>
      <c r="O40" s="205" t="s">
        <v>1058</v>
      </c>
      <c r="P40" s="205" t="s">
        <v>1058</v>
      </c>
      <c r="Q40" s="205" t="s">
        <v>1116</v>
      </c>
      <c r="R40" s="206" t="s">
        <v>1048</v>
      </c>
      <c r="S40" s="1"/>
      <c r="U40" s="200" t="s">
        <v>1036</v>
      </c>
      <c r="V40" s="204" t="s">
        <v>1058</v>
      </c>
      <c r="W40" s="205" t="s">
        <v>1058</v>
      </c>
      <c r="X40" s="205" t="s">
        <v>1058</v>
      </c>
      <c r="Y40" s="205" t="s">
        <v>1058</v>
      </c>
      <c r="Z40" s="205" t="s">
        <v>1058</v>
      </c>
      <c r="AA40" s="205" t="s">
        <v>1058</v>
      </c>
      <c r="AB40" s="205" t="s">
        <v>1058</v>
      </c>
      <c r="AC40" s="205" t="s">
        <v>1058</v>
      </c>
      <c r="AD40" s="205" t="s">
        <v>1058</v>
      </c>
      <c r="AE40" s="205" t="s">
        <v>1058</v>
      </c>
      <c r="AF40" s="205" t="s">
        <v>1058</v>
      </c>
      <c r="AG40" s="205" t="s">
        <v>1058</v>
      </c>
      <c r="AH40" s="205" t="s">
        <v>1058</v>
      </c>
      <c r="AI40" s="205" t="s">
        <v>1058</v>
      </c>
      <c r="AJ40" s="205" t="s">
        <v>1116</v>
      </c>
      <c r="AK40" s="206" t="s">
        <v>1048</v>
      </c>
      <c r="AL40" s="1"/>
    </row>
    <row r="41" spans="2:38" ht="12.75" customHeight="1" x14ac:dyDescent="0.25">
      <c r="B41" s="200" t="s">
        <v>1037</v>
      </c>
      <c r="C41" s="204" t="s">
        <v>1058</v>
      </c>
      <c r="D41" s="205" t="s">
        <v>1058</v>
      </c>
      <c r="E41" s="205" t="s">
        <v>1058</v>
      </c>
      <c r="F41" s="205" t="s">
        <v>1058</v>
      </c>
      <c r="G41" s="205" t="s">
        <v>1058</v>
      </c>
      <c r="H41" s="205" t="s">
        <v>1058</v>
      </c>
      <c r="I41" s="205" t="s">
        <v>1058</v>
      </c>
      <c r="J41" s="205" t="s">
        <v>1058</v>
      </c>
      <c r="K41" s="205" t="s">
        <v>1058</v>
      </c>
      <c r="L41" s="205" t="s">
        <v>1058</v>
      </c>
      <c r="M41" s="205" t="s">
        <v>1058</v>
      </c>
      <c r="N41" s="205" t="s">
        <v>1058</v>
      </c>
      <c r="O41" s="205" t="s">
        <v>1058</v>
      </c>
      <c r="P41" s="205" t="s">
        <v>1058</v>
      </c>
      <c r="Q41" s="205" t="s">
        <v>1117</v>
      </c>
      <c r="R41" s="206" t="s">
        <v>1048</v>
      </c>
      <c r="S41" s="1"/>
      <c r="U41" s="200" t="s">
        <v>1037</v>
      </c>
      <c r="V41" s="204" t="s">
        <v>1058</v>
      </c>
      <c r="W41" s="205" t="s">
        <v>1058</v>
      </c>
      <c r="X41" s="205" t="s">
        <v>1058</v>
      </c>
      <c r="Y41" s="205" t="s">
        <v>1058</v>
      </c>
      <c r="Z41" s="205" t="s">
        <v>1058</v>
      </c>
      <c r="AA41" s="205" t="s">
        <v>1058</v>
      </c>
      <c r="AB41" s="205" t="s">
        <v>1058</v>
      </c>
      <c r="AC41" s="205" t="s">
        <v>1058</v>
      </c>
      <c r="AD41" s="205" t="s">
        <v>1058</v>
      </c>
      <c r="AE41" s="205" t="s">
        <v>1058</v>
      </c>
      <c r="AF41" s="205" t="s">
        <v>1058</v>
      </c>
      <c r="AG41" s="205" t="s">
        <v>1058</v>
      </c>
      <c r="AH41" s="205" t="s">
        <v>1058</v>
      </c>
      <c r="AI41" s="205" t="s">
        <v>1058</v>
      </c>
      <c r="AJ41" s="205" t="s">
        <v>1117</v>
      </c>
      <c r="AK41" s="206" t="s">
        <v>1048</v>
      </c>
      <c r="AL41" s="1"/>
    </row>
    <row r="42" spans="2:38" ht="12.75" customHeight="1" x14ac:dyDescent="0.25">
      <c r="B42" s="200" t="s">
        <v>1038</v>
      </c>
      <c r="C42" s="204" t="s">
        <v>1106</v>
      </c>
      <c r="D42" s="205" t="s">
        <v>1118</v>
      </c>
      <c r="E42" s="205" t="s">
        <v>1058</v>
      </c>
      <c r="F42" s="205" t="s">
        <v>1058</v>
      </c>
      <c r="G42" s="205" t="s">
        <v>1058</v>
      </c>
      <c r="H42" s="205" t="s">
        <v>1058</v>
      </c>
      <c r="I42" s="205" t="s">
        <v>1058</v>
      </c>
      <c r="J42" s="205" t="s">
        <v>1058</v>
      </c>
      <c r="K42" s="205" t="s">
        <v>1058</v>
      </c>
      <c r="L42" s="205" t="s">
        <v>1058</v>
      </c>
      <c r="M42" s="205" t="s">
        <v>1058</v>
      </c>
      <c r="N42" s="205" t="s">
        <v>1058</v>
      </c>
      <c r="O42" s="205" t="s">
        <v>1058</v>
      </c>
      <c r="P42" s="205" t="s">
        <v>1058</v>
      </c>
      <c r="Q42" s="205" t="s">
        <v>1119</v>
      </c>
      <c r="R42" s="206" t="s">
        <v>1048</v>
      </c>
      <c r="S42" s="1"/>
      <c r="U42" s="200" t="s">
        <v>1038</v>
      </c>
      <c r="V42" s="204" t="s">
        <v>1106</v>
      </c>
      <c r="W42" s="205" t="s">
        <v>1118</v>
      </c>
      <c r="X42" s="205" t="s">
        <v>1058</v>
      </c>
      <c r="Y42" s="205" t="s">
        <v>1058</v>
      </c>
      <c r="Z42" s="205" t="s">
        <v>1058</v>
      </c>
      <c r="AA42" s="205" t="s">
        <v>1058</v>
      </c>
      <c r="AB42" s="205" t="s">
        <v>1058</v>
      </c>
      <c r="AC42" s="205" t="s">
        <v>1058</v>
      </c>
      <c r="AD42" s="205" t="s">
        <v>1058</v>
      </c>
      <c r="AE42" s="205" t="s">
        <v>1058</v>
      </c>
      <c r="AF42" s="205" t="s">
        <v>1058</v>
      </c>
      <c r="AG42" s="205" t="s">
        <v>1058</v>
      </c>
      <c r="AH42" s="205" t="s">
        <v>1058</v>
      </c>
      <c r="AI42" s="205" t="s">
        <v>1058</v>
      </c>
      <c r="AJ42" s="205" t="s">
        <v>1119</v>
      </c>
      <c r="AK42" s="206" t="s">
        <v>1048</v>
      </c>
      <c r="AL42" s="1"/>
    </row>
    <row r="43" spans="2:38" ht="12.75" customHeight="1" x14ac:dyDescent="0.25">
      <c r="B43" s="200" t="s">
        <v>1039</v>
      </c>
      <c r="C43" s="204" t="s">
        <v>1058</v>
      </c>
      <c r="D43" s="205" t="s">
        <v>1058</v>
      </c>
      <c r="E43" s="205" t="s">
        <v>1058</v>
      </c>
      <c r="F43" s="205" t="s">
        <v>1058</v>
      </c>
      <c r="G43" s="205" t="s">
        <v>1058</v>
      </c>
      <c r="H43" s="205" t="s">
        <v>1058</v>
      </c>
      <c r="I43" s="205" t="s">
        <v>1058</v>
      </c>
      <c r="J43" s="205" t="s">
        <v>1058</v>
      </c>
      <c r="K43" s="205" t="s">
        <v>1058</v>
      </c>
      <c r="L43" s="205" t="s">
        <v>1058</v>
      </c>
      <c r="M43" s="205" t="s">
        <v>1058</v>
      </c>
      <c r="N43" s="205" t="s">
        <v>1058</v>
      </c>
      <c r="O43" s="205" t="s">
        <v>1058</v>
      </c>
      <c r="P43" s="205" t="s">
        <v>1058</v>
      </c>
      <c r="Q43" s="205" t="s">
        <v>1120</v>
      </c>
      <c r="R43" s="206" t="s">
        <v>1048</v>
      </c>
      <c r="S43" s="1"/>
      <c r="U43" s="200" t="s">
        <v>1039</v>
      </c>
      <c r="V43" s="204" t="s">
        <v>1058</v>
      </c>
      <c r="W43" s="205" t="s">
        <v>1058</v>
      </c>
      <c r="X43" s="205" t="s">
        <v>1058</v>
      </c>
      <c r="Y43" s="205" t="s">
        <v>1058</v>
      </c>
      <c r="Z43" s="205" t="s">
        <v>1058</v>
      </c>
      <c r="AA43" s="205" t="s">
        <v>1058</v>
      </c>
      <c r="AB43" s="205" t="s">
        <v>1058</v>
      </c>
      <c r="AC43" s="205" t="s">
        <v>1058</v>
      </c>
      <c r="AD43" s="205" t="s">
        <v>1058</v>
      </c>
      <c r="AE43" s="205" t="s">
        <v>1058</v>
      </c>
      <c r="AF43" s="205" t="s">
        <v>1058</v>
      </c>
      <c r="AG43" s="205" t="s">
        <v>1058</v>
      </c>
      <c r="AH43" s="205" t="s">
        <v>1058</v>
      </c>
      <c r="AI43" s="205" t="s">
        <v>1058</v>
      </c>
      <c r="AJ43" s="205" t="s">
        <v>1120</v>
      </c>
      <c r="AK43" s="206" t="s">
        <v>1048</v>
      </c>
      <c r="AL43" s="1"/>
    </row>
    <row r="44" spans="2:38" ht="12.75" customHeight="1" x14ac:dyDescent="0.25">
      <c r="B44" s="200" t="s">
        <v>1040</v>
      </c>
      <c r="C44" s="204" t="s">
        <v>1058</v>
      </c>
      <c r="D44" s="205" t="s">
        <v>1058</v>
      </c>
      <c r="E44" s="205" t="s">
        <v>1058</v>
      </c>
      <c r="F44" s="205" t="s">
        <v>1058</v>
      </c>
      <c r="G44" s="205" t="s">
        <v>1058</v>
      </c>
      <c r="H44" s="205" t="s">
        <v>1058</v>
      </c>
      <c r="I44" s="205" t="s">
        <v>1058</v>
      </c>
      <c r="J44" s="205" t="s">
        <v>1058</v>
      </c>
      <c r="K44" s="205" t="s">
        <v>1058</v>
      </c>
      <c r="L44" s="205" t="s">
        <v>1058</v>
      </c>
      <c r="M44" s="205" t="s">
        <v>1058</v>
      </c>
      <c r="N44" s="205" t="s">
        <v>1058</v>
      </c>
      <c r="O44" s="205" t="s">
        <v>1058</v>
      </c>
      <c r="P44" s="205" t="s">
        <v>1058</v>
      </c>
      <c r="Q44" s="205" t="s">
        <v>1121</v>
      </c>
      <c r="R44" s="206" t="s">
        <v>1048</v>
      </c>
      <c r="S44" s="1"/>
      <c r="U44" s="200" t="s">
        <v>1040</v>
      </c>
      <c r="V44" s="204" t="s">
        <v>1058</v>
      </c>
      <c r="W44" s="205" t="s">
        <v>1058</v>
      </c>
      <c r="X44" s="205" t="s">
        <v>1058</v>
      </c>
      <c r="Y44" s="205" t="s">
        <v>1058</v>
      </c>
      <c r="Z44" s="205" t="s">
        <v>1058</v>
      </c>
      <c r="AA44" s="205" t="s">
        <v>1058</v>
      </c>
      <c r="AB44" s="205" t="s">
        <v>1058</v>
      </c>
      <c r="AC44" s="205" t="s">
        <v>1058</v>
      </c>
      <c r="AD44" s="205" t="s">
        <v>1058</v>
      </c>
      <c r="AE44" s="205" t="s">
        <v>1058</v>
      </c>
      <c r="AF44" s="205" t="s">
        <v>1058</v>
      </c>
      <c r="AG44" s="205" t="s">
        <v>1058</v>
      </c>
      <c r="AH44" s="205" t="s">
        <v>1058</v>
      </c>
      <c r="AI44" s="205" t="s">
        <v>1058</v>
      </c>
      <c r="AJ44" s="205" t="s">
        <v>1121</v>
      </c>
      <c r="AK44" s="206" t="s">
        <v>1048</v>
      </c>
      <c r="AL44" s="1"/>
    </row>
    <row r="45" spans="2:38" ht="12.75" customHeight="1" x14ac:dyDescent="0.25">
      <c r="B45" s="200" t="s">
        <v>1041</v>
      </c>
      <c r="C45" s="204" t="s">
        <v>1058</v>
      </c>
      <c r="D45" s="205" t="s">
        <v>1058</v>
      </c>
      <c r="E45" s="205" t="s">
        <v>1058</v>
      </c>
      <c r="F45" s="205" t="s">
        <v>1058</v>
      </c>
      <c r="G45" s="205" t="s">
        <v>1058</v>
      </c>
      <c r="H45" s="205" t="s">
        <v>1058</v>
      </c>
      <c r="I45" s="205" t="s">
        <v>1058</v>
      </c>
      <c r="J45" s="205" t="s">
        <v>1058</v>
      </c>
      <c r="K45" s="205" t="s">
        <v>1058</v>
      </c>
      <c r="L45" s="205" t="s">
        <v>1058</v>
      </c>
      <c r="M45" s="205" t="s">
        <v>1058</v>
      </c>
      <c r="N45" s="205" t="s">
        <v>1058</v>
      </c>
      <c r="O45" s="205" t="s">
        <v>1058</v>
      </c>
      <c r="P45" s="205" t="s">
        <v>1058</v>
      </c>
      <c r="Q45" s="205" t="s">
        <v>1122</v>
      </c>
      <c r="R45" s="206" t="s">
        <v>1048</v>
      </c>
      <c r="S45" s="1"/>
      <c r="U45" s="200" t="s">
        <v>1041</v>
      </c>
      <c r="V45" s="204" t="s">
        <v>1058</v>
      </c>
      <c r="W45" s="205" t="s">
        <v>1058</v>
      </c>
      <c r="X45" s="205" t="s">
        <v>1058</v>
      </c>
      <c r="Y45" s="205" t="s">
        <v>1058</v>
      </c>
      <c r="Z45" s="205" t="s">
        <v>1058</v>
      </c>
      <c r="AA45" s="205" t="s">
        <v>1058</v>
      </c>
      <c r="AB45" s="205" t="s">
        <v>1058</v>
      </c>
      <c r="AC45" s="205" t="s">
        <v>1058</v>
      </c>
      <c r="AD45" s="205" t="s">
        <v>1058</v>
      </c>
      <c r="AE45" s="205" t="s">
        <v>1058</v>
      </c>
      <c r="AF45" s="205" t="s">
        <v>1058</v>
      </c>
      <c r="AG45" s="205" t="s">
        <v>1058</v>
      </c>
      <c r="AH45" s="205" t="s">
        <v>1058</v>
      </c>
      <c r="AI45" s="205" t="s">
        <v>1058</v>
      </c>
      <c r="AJ45" s="205" t="s">
        <v>1122</v>
      </c>
      <c r="AK45" s="206" t="s">
        <v>1048</v>
      </c>
      <c r="AL45" s="1"/>
    </row>
    <row r="46" spans="2:38" ht="12.75" customHeight="1" x14ac:dyDescent="0.25">
      <c r="B46" s="200" t="s">
        <v>1042</v>
      </c>
      <c r="C46" s="204" t="s">
        <v>1058</v>
      </c>
      <c r="D46" s="205" t="s">
        <v>1058</v>
      </c>
      <c r="E46" s="205" t="s">
        <v>1110</v>
      </c>
      <c r="F46" s="205" t="s">
        <v>1092</v>
      </c>
      <c r="G46" s="205" t="s">
        <v>1054</v>
      </c>
      <c r="H46" s="205" t="s">
        <v>1123</v>
      </c>
      <c r="I46" s="205" t="s">
        <v>1054</v>
      </c>
      <c r="J46" s="205" t="s">
        <v>1062</v>
      </c>
      <c r="K46" s="205" t="s">
        <v>1054</v>
      </c>
      <c r="L46" s="205" t="s">
        <v>1083</v>
      </c>
      <c r="M46" s="205" t="s">
        <v>1063</v>
      </c>
      <c r="N46" s="205" t="s">
        <v>1124</v>
      </c>
      <c r="O46" s="205" t="s">
        <v>1125</v>
      </c>
      <c r="P46" s="205" t="s">
        <v>1106</v>
      </c>
      <c r="Q46" s="205" t="s">
        <v>1126</v>
      </c>
      <c r="R46" s="206" t="s">
        <v>1050</v>
      </c>
      <c r="S46" s="1"/>
      <c r="U46" s="200" t="s">
        <v>1042</v>
      </c>
      <c r="V46" s="204" t="s">
        <v>1058</v>
      </c>
      <c r="W46" s="205" t="s">
        <v>1058</v>
      </c>
      <c r="X46" s="205" t="s">
        <v>1110</v>
      </c>
      <c r="Y46" s="205" t="s">
        <v>1092</v>
      </c>
      <c r="Z46" s="205" t="s">
        <v>1054</v>
      </c>
      <c r="AA46" s="205" t="s">
        <v>1123</v>
      </c>
      <c r="AB46" s="205" t="s">
        <v>1054</v>
      </c>
      <c r="AC46" s="205" t="s">
        <v>1062</v>
      </c>
      <c r="AD46" s="205" t="s">
        <v>1054</v>
      </c>
      <c r="AE46" s="205" t="s">
        <v>1083</v>
      </c>
      <c r="AF46" s="205" t="s">
        <v>1063</v>
      </c>
      <c r="AG46" s="205" t="s">
        <v>1124</v>
      </c>
      <c r="AH46" s="205" t="s">
        <v>1125</v>
      </c>
      <c r="AI46" s="205" t="s">
        <v>1106</v>
      </c>
      <c r="AJ46" s="205" t="s">
        <v>1126</v>
      </c>
      <c r="AK46" s="206" t="s">
        <v>1050</v>
      </c>
      <c r="AL46" s="1"/>
    </row>
    <row r="47" spans="2:38" ht="12.75" customHeight="1" x14ac:dyDescent="0.25">
      <c r="B47" s="200" t="s">
        <v>1043</v>
      </c>
      <c r="C47" s="204" t="s">
        <v>1054</v>
      </c>
      <c r="D47" s="205" t="s">
        <v>1054</v>
      </c>
      <c r="E47" s="205" t="s">
        <v>1054</v>
      </c>
      <c r="F47" s="205" t="s">
        <v>1083</v>
      </c>
      <c r="G47" s="205" t="s">
        <v>1058</v>
      </c>
      <c r="H47" s="205" t="s">
        <v>1058</v>
      </c>
      <c r="I47" s="205" t="s">
        <v>1058</v>
      </c>
      <c r="J47" s="205" t="s">
        <v>1058</v>
      </c>
      <c r="K47" s="205" t="s">
        <v>1058</v>
      </c>
      <c r="L47" s="205" t="s">
        <v>1058</v>
      </c>
      <c r="M47" s="205" t="s">
        <v>1058</v>
      </c>
      <c r="N47" s="205" t="s">
        <v>1058</v>
      </c>
      <c r="O47" s="205" t="s">
        <v>1058</v>
      </c>
      <c r="P47" s="205" t="s">
        <v>1058</v>
      </c>
      <c r="Q47" s="205" t="s">
        <v>1127</v>
      </c>
      <c r="R47" s="206" t="s">
        <v>1048</v>
      </c>
      <c r="S47" s="1"/>
      <c r="U47" s="200" t="s">
        <v>1043</v>
      </c>
      <c r="V47" s="204" t="s">
        <v>1054</v>
      </c>
      <c r="W47" s="205" t="s">
        <v>1054</v>
      </c>
      <c r="X47" s="205" t="s">
        <v>1054</v>
      </c>
      <c r="Y47" s="205" t="s">
        <v>1083</v>
      </c>
      <c r="Z47" s="205" t="s">
        <v>1058</v>
      </c>
      <c r="AA47" s="205" t="s">
        <v>1058</v>
      </c>
      <c r="AB47" s="205" t="s">
        <v>1058</v>
      </c>
      <c r="AC47" s="205" t="s">
        <v>1058</v>
      </c>
      <c r="AD47" s="205" t="s">
        <v>1058</v>
      </c>
      <c r="AE47" s="205" t="s">
        <v>1058</v>
      </c>
      <c r="AF47" s="205" t="s">
        <v>1058</v>
      </c>
      <c r="AG47" s="205" t="s">
        <v>1058</v>
      </c>
      <c r="AH47" s="205" t="s">
        <v>1058</v>
      </c>
      <c r="AI47" s="205" t="s">
        <v>1058</v>
      </c>
      <c r="AJ47" s="205" t="s">
        <v>1127</v>
      </c>
      <c r="AK47" s="206" t="s">
        <v>1048</v>
      </c>
      <c r="AL47" s="1"/>
    </row>
    <row r="48" spans="2:38" ht="12.75" customHeight="1" x14ac:dyDescent="0.25">
      <c r="B48" s="200" t="s">
        <v>1044</v>
      </c>
      <c r="C48" s="204" t="s">
        <v>1056</v>
      </c>
      <c r="D48" s="205" t="s">
        <v>1057</v>
      </c>
      <c r="E48" s="205" t="s">
        <v>1128</v>
      </c>
      <c r="F48" s="205" t="s">
        <v>1108</v>
      </c>
      <c r="G48" s="205" t="s">
        <v>1129</v>
      </c>
      <c r="H48" s="205" t="s">
        <v>1130</v>
      </c>
      <c r="I48" s="205" t="s">
        <v>1131</v>
      </c>
      <c r="J48" s="205" t="s">
        <v>1132</v>
      </c>
      <c r="K48" s="205" t="s">
        <v>1064</v>
      </c>
      <c r="L48" s="205" t="s">
        <v>1109</v>
      </c>
      <c r="M48" s="205" t="s">
        <v>1081</v>
      </c>
      <c r="N48" s="205" t="s">
        <v>1058</v>
      </c>
      <c r="O48" s="205" t="s">
        <v>1058</v>
      </c>
      <c r="P48" s="205" t="s">
        <v>1058</v>
      </c>
      <c r="Q48" s="205" t="s">
        <v>1133</v>
      </c>
      <c r="R48" s="206" t="s">
        <v>1096</v>
      </c>
      <c r="S48" s="1"/>
      <c r="U48" s="200" t="s">
        <v>1044</v>
      </c>
      <c r="V48" s="204" t="s">
        <v>1056</v>
      </c>
      <c r="W48" s="205" t="s">
        <v>1057</v>
      </c>
      <c r="X48" s="205" t="s">
        <v>1128</v>
      </c>
      <c r="Y48" s="205" t="s">
        <v>1108</v>
      </c>
      <c r="Z48" s="205" t="s">
        <v>1129</v>
      </c>
      <c r="AA48" s="205" t="s">
        <v>1130</v>
      </c>
      <c r="AB48" s="205" t="s">
        <v>1131</v>
      </c>
      <c r="AC48" s="205" t="s">
        <v>1132</v>
      </c>
      <c r="AD48" s="205" t="s">
        <v>1064</v>
      </c>
      <c r="AE48" s="205" t="s">
        <v>1109</v>
      </c>
      <c r="AF48" s="205" t="s">
        <v>1081</v>
      </c>
      <c r="AG48" s="205" t="s">
        <v>1058</v>
      </c>
      <c r="AH48" s="205" t="s">
        <v>1058</v>
      </c>
      <c r="AI48" s="205" t="s">
        <v>1058</v>
      </c>
      <c r="AJ48" s="205" t="s">
        <v>1133</v>
      </c>
      <c r="AK48" s="206" t="s">
        <v>1096</v>
      </c>
      <c r="AL48" s="1"/>
    </row>
    <row r="49" spans="2:38" ht="12.75" customHeight="1" thickBot="1" x14ac:dyDescent="0.3">
      <c r="B49" s="200" t="s">
        <v>1045</v>
      </c>
      <c r="C49" s="207" t="s">
        <v>1056</v>
      </c>
      <c r="D49" s="208" t="s">
        <v>1057</v>
      </c>
      <c r="E49" s="208" t="s">
        <v>1128</v>
      </c>
      <c r="F49" s="208" t="s">
        <v>1108</v>
      </c>
      <c r="G49" s="208" t="s">
        <v>1129</v>
      </c>
      <c r="H49" s="208" t="s">
        <v>1130</v>
      </c>
      <c r="I49" s="208" t="s">
        <v>1131</v>
      </c>
      <c r="J49" s="208" t="s">
        <v>1132</v>
      </c>
      <c r="K49" s="208" t="s">
        <v>1064</v>
      </c>
      <c r="L49" s="208" t="s">
        <v>1109</v>
      </c>
      <c r="M49" s="208" t="s">
        <v>1081</v>
      </c>
      <c r="N49" s="208" t="s">
        <v>1058</v>
      </c>
      <c r="O49" s="208" t="s">
        <v>1058</v>
      </c>
      <c r="P49" s="208" t="s">
        <v>1058</v>
      </c>
      <c r="Q49" s="208" t="s">
        <v>1133</v>
      </c>
      <c r="R49" s="209" t="s">
        <v>1096</v>
      </c>
      <c r="S49" s="1"/>
      <c r="U49" s="200" t="s">
        <v>1045</v>
      </c>
      <c r="V49" s="207" t="s">
        <v>1056</v>
      </c>
      <c r="W49" s="208" t="s">
        <v>1057</v>
      </c>
      <c r="X49" s="208" t="s">
        <v>1128</v>
      </c>
      <c r="Y49" s="208" t="s">
        <v>1108</v>
      </c>
      <c r="Z49" s="208" t="s">
        <v>1129</v>
      </c>
      <c r="AA49" s="208" t="s">
        <v>1130</v>
      </c>
      <c r="AB49" s="208" t="s">
        <v>1131</v>
      </c>
      <c r="AC49" s="208" t="s">
        <v>1132</v>
      </c>
      <c r="AD49" s="208" t="s">
        <v>1064</v>
      </c>
      <c r="AE49" s="208" t="s">
        <v>1109</v>
      </c>
      <c r="AF49" s="208" t="s">
        <v>1081</v>
      </c>
      <c r="AG49" s="208" t="s">
        <v>1058</v>
      </c>
      <c r="AH49" s="208" t="s">
        <v>1058</v>
      </c>
      <c r="AI49" s="208" t="s">
        <v>1058</v>
      </c>
      <c r="AJ49" s="208" t="s">
        <v>1133</v>
      </c>
      <c r="AK49" s="209" t="s">
        <v>1096</v>
      </c>
      <c r="AL49" s="1"/>
    </row>
    <row r="50" spans="2:38" ht="15.75" thickTop="1" x14ac:dyDescent="0.25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</row>
  </sheetData>
  <sheetProtection algorithmName="SHA-512" hashValue="xMYUQBoeClufRnV90QP2gQRq3Upd66SLWo6rUfuS5JqjBME2EX4SKeVCx3lXBvwbspjb5hLLSvsfi/YHwsBsRg==" saltValue="MFoT6lH/T9GTiHHux40FGQ==" spinCount="100000" sheet="1" objects="1" scenarios="1"/>
  <mergeCells count="14">
    <mergeCell ref="U2:AL2"/>
    <mergeCell ref="U10:W10"/>
    <mergeCell ref="X10:AA10"/>
    <mergeCell ref="X8:AD8"/>
    <mergeCell ref="AE8:AK8"/>
    <mergeCell ref="C14:G14"/>
    <mergeCell ref="C3:R10"/>
    <mergeCell ref="C11:R12"/>
    <mergeCell ref="U4:Y4"/>
    <mergeCell ref="C17:R17"/>
    <mergeCell ref="V17:AK17"/>
    <mergeCell ref="U6:Y6"/>
    <mergeCell ref="Z6:AE6"/>
    <mergeCell ref="U8:W8"/>
  </mergeCells>
  <conditionalFormatting sqref="V18:AK49">
    <cfRule type="expression" dxfId="10" priority="1">
      <formula>C18&lt;&gt;V18</formula>
    </cfRule>
  </conditionalFormatting>
  <dataValidations count="3">
    <dataValidation showInputMessage="1" showErrorMessage="1" sqref="S2:S15 G2:R2 K14 I14 B2:F13 G13:R13 B14:C15 D15:R15" xr:uid="{00000000-0002-0000-0200-000000000000}"/>
    <dataValidation type="textLength" showInputMessage="1" showErrorMessage="1" sqref="X8:AD8 AE8:AK8" xr:uid="{00000000-0002-0000-0200-000001000000}">
      <formula1>1</formula1>
      <formula2>13</formula2>
    </dataValidation>
    <dataValidation type="textLength" operator="equal" showInputMessage="1" showErrorMessage="1" sqref="X10:AA10" xr:uid="{00000000-0002-0000-0200-000002000000}">
      <formula1>5</formula1>
    </dataValidation>
  </dataValidations>
  <hyperlinks>
    <hyperlink ref="C11" r:id="rId1" xr:uid="{00000000-0004-0000-0200-000000000000}"/>
  </hyperlinks>
  <pageMargins left="0.7" right="0.7" top="0.75" bottom="0.75" header="0.3" footer="0.3"/>
  <pageSetup paperSize="9" orientation="portrait" horizontalDpi="4294967293" verticalDpi="4294967293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Check Box 1">
              <controlPr defaultSize="0" autoFill="0" autoLine="0" autoPict="0" macro="[0]!SKC_KEY">
                <anchor moveWithCells="1">
                  <from>
                    <xdr:col>27</xdr:col>
                    <xdr:colOff>38100</xdr:colOff>
                    <xdr:row>8</xdr:row>
                    <xdr:rowOff>161925</xdr:rowOff>
                  </from>
                  <to>
                    <xdr:col>29</xdr:col>
                    <xdr:colOff>209550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B2:S24"/>
  <sheetViews>
    <sheetView workbookViewId="0">
      <selection activeCell="J24" sqref="J24"/>
    </sheetView>
  </sheetViews>
  <sheetFormatPr defaultRowHeight="15" x14ac:dyDescent="0.25"/>
  <cols>
    <col min="1" max="16384" width="9.140625" style="226"/>
  </cols>
  <sheetData>
    <row r="2" spans="2:9" x14ac:dyDescent="0.25">
      <c r="B2" s="22"/>
      <c r="C2" s="22"/>
      <c r="D2" s="22"/>
      <c r="E2" s="22"/>
      <c r="F2" s="22"/>
      <c r="G2" s="22"/>
      <c r="H2" s="22"/>
      <c r="I2" s="22"/>
    </row>
    <row r="3" spans="2:9" x14ac:dyDescent="0.25">
      <c r="B3" s="48"/>
      <c r="C3" s="320" t="s">
        <v>1153</v>
      </c>
      <c r="D3" s="321"/>
      <c r="E3" s="321"/>
      <c r="F3" s="321"/>
      <c r="G3" s="321"/>
      <c r="H3" s="322"/>
      <c r="I3" s="22"/>
    </row>
    <row r="4" spans="2:9" x14ac:dyDescent="0.25">
      <c r="B4" s="48"/>
      <c r="C4" s="323"/>
      <c r="D4" s="324"/>
      <c r="E4" s="324"/>
      <c r="F4" s="324"/>
      <c r="G4" s="324"/>
      <c r="H4" s="325"/>
      <c r="I4" s="22"/>
    </row>
    <row r="5" spans="2:9" x14ac:dyDescent="0.25">
      <c r="B5" s="48"/>
      <c r="C5" s="323"/>
      <c r="D5" s="324"/>
      <c r="E5" s="324"/>
      <c r="F5" s="324"/>
      <c r="G5" s="324"/>
      <c r="H5" s="325"/>
      <c r="I5" s="22"/>
    </row>
    <row r="6" spans="2:9" x14ac:dyDescent="0.25">
      <c r="B6" s="48"/>
      <c r="C6" s="323"/>
      <c r="D6" s="324"/>
      <c r="E6" s="324"/>
      <c r="F6" s="324"/>
      <c r="G6" s="324"/>
      <c r="H6" s="325"/>
      <c r="I6" s="22"/>
    </row>
    <row r="7" spans="2:9" x14ac:dyDescent="0.25">
      <c r="B7" s="48"/>
      <c r="C7" s="323"/>
      <c r="D7" s="324"/>
      <c r="E7" s="324"/>
      <c r="F7" s="324"/>
      <c r="G7" s="324"/>
      <c r="H7" s="325"/>
      <c r="I7" s="22"/>
    </row>
    <row r="8" spans="2:9" x14ac:dyDescent="0.25">
      <c r="B8" s="58"/>
      <c r="C8" s="323"/>
      <c r="D8" s="324"/>
      <c r="E8" s="324"/>
      <c r="F8" s="324"/>
      <c r="G8" s="324"/>
      <c r="H8" s="325"/>
      <c r="I8" s="1"/>
    </row>
    <row r="9" spans="2:9" x14ac:dyDescent="0.25">
      <c r="B9" s="58"/>
      <c r="C9" s="323"/>
      <c r="D9" s="324"/>
      <c r="E9" s="324"/>
      <c r="F9" s="324"/>
      <c r="G9" s="324"/>
      <c r="H9" s="325"/>
      <c r="I9" s="1"/>
    </row>
    <row r="10" spans="2:9" x14ac:dyDescent="0.25">
      <c r="B10" s="1"/>
      <c r="C10" s="323"/>
      <c r="D10" s="324"/>
      <c r="E10" s="324"/>
      <c r="F10" s="324"/>
      <c r="G10" s="324"/>
      <c r="H10" s="325"/>
      <c r="I10" s="1"/>
    </row>
    <row r="11" spans="2:9" x14ac:dyDescent="0.25">
      <c r="B11" s="48"/>
      <c r="C11" s="326" t="s">
        <v>0</v>
      </c>
      <c r="D11" s="324"/>
      <c r="E11" s="324"/>
      <c r="F11" s="324"/>
      <c r="G11" s="324"/>
      <c r="H11" s="325"/>
      <c r="I11" s="1"/>
    </row>
    <row r="12" spans="2:9" x14ac:dyDescent="0.25">
      <c r="B12" s="48"/>
      <c r="C12" s="327"/>
      <c r="D12" s="328"/>
      <c r="E12" s="328"/>
      <c r="F12" s="328"/>
      <c r="G12" s="328"/>
      <c r="H12" s="329"/>
      <c r="I12" s="22"/>
    </row>
    <row r="13" spans="2:9" x14ac:dyDescent="0.25">
      <c r="B13" s="22"/>
      <c r="C13" s="22"/>
      <c r="D13" s="22"/>
      <c r="E13" s="22"/>
      <c r="F13" s="22"/>
      <c r="G13" s="22"/>
      <c r="H13" s="22"/>
      <c r="I13" s="22"/>
    </row>
    <row r="14" spans="2:9" x14ac:dyDescent="0.25">
      <c r="B14" s="22"/>
      <c r="C14" s="225"/>
      <c r="D14" s="32" t="s">
        <v>2</v>
      </c>
      <c r="E14" s="330" t="s">
        <v>1</v>
      </c>
      <c r="F14" s="330"/>
      <c r="G14" s="224"/>
      <c r="H14" s="224"/>
      <c r="I14" s="224"/>
    </row>
    <row r="15" spans="2:9" x14ac:dyDescent="0.25">
      <c r="B15" s="22"/>
      <c r="C15" s="22"/>
      <c r="D15" s="22"/>
      <c r="E15" s="22"/>
      <c r="F15" s="22"/>
      <c r="G15" s="22"/>
      <c r="H15" s="22"/>
      <c r="I15" s="1"/>
    </row>
    <row r="17" spans="2:19" ht="15" customHeight="1" x14ac:dyDescent="0.25">
      <c r="B17" s="221"/>
      <c r="C17" s="221"/>
      <c r="D17" s="221"/>
      <c r="E17" s="221"/>
      <c r="F17" s="221"/>
      <c r="G17" s="221"/>
      <c r="H17" s="221"/>
      <c r="I17" s="221"/>
      <c r="J17" s="221"/>
      <c r="K17" s="221"/>
      <c r="L17" s="221"/>
      <c r="M17" s="221"/>
      <c r="N17" s="221"/>
      <c r="O17" s="221"/>
      <c r="P17" s="221"/>
      <c r="Q17" s="221"/>
      <c r="R17" s="221"/>
      <c r="S17" s="221"/>
    </row>
    <row r="18" spans="2:19" ht="15" customHeight="1" x14ac:dyDescent="0.25">
      <c r="B18" s="221"/>
      <c r="C18" s="227" t="s">
        <v>1154</v>
      </c>
      <c r="D18" s="221"/>
      <c r="E18" s="221"/>
      <c r="F18" s="221"/>
      <c r="G18" s="221"/>
      <c r="H18" s="229">
        <v>0</v>
      </c>
      <c r="I18" s="221"/>
      <c r="J18" s="221"/>
      <c r="K18" s="221"/>
      <c r="L18" s="221"/>
      <c r="M18" s="221"/>
      <c r="N18" s="221"/>
      <c r="O18" s="221"/>
      <c r="P18" s="221"/>
      <c r="Q18" s="221"/>
      <c r="R18" s="221"/>
      <c r="S18" s="221"/>
    </row>
    <row r="19" spans="2:19" ht="3" customHeight="1" x14ac:dyDescent="0.25">
      <c r="B19" s="221"/>
      <c r="C19" s="227"/>
      <c r="D19" s="221"/>
      <c r="E19" s="221"/>
      <c r="F19" s="221"/>
      <c r="G19" s="221"/>
      <c r="H19" s="221">
        <v>6</v>
      </c>
      <c r="I19" s="221"/>
      <c r="J19" s="221"/>
      <c r="K19" s="221"/>
      <c r="L19" s="221"/>
      <c r="M19" s="221"/>
      <c r="N19" s="221"/>
      <c r="O19" s="221"/>
      <c r="P19" s="221"/>
      <c r="Q19" s="221"/>
      <c r="R19" s="221"/>
      <c r="S19" s="221"/>
    </row>
    <row r="20" spans="2:19" ht="6" customHeight="1" x14ac:dyDescent="0.25">
      <c r="B20" s="221"/>
      <c r="C20" s="228"/>
      <c r="D20" s="228"/>
      <c r="E20" s="228"/>
      <c r="F20" s="228"/>
      <c r="G20" s="228"/>
      <c r="H20" s="228"/>
      <c r="I20" s="228"/>
      <c r="J20" s="228"/>
      <c r="K20" s="228"/>
      <c r="L20" s="228"/>
      <c r="M20" s="228"/>
      <c r="N20" s="228"/>
      <c r="O20" s="228"/>
      <c r="P20" s="228"/>
      <c r="Q20" s="228"/>
      <c r="R20" s="228"/>
      <c r="S20" s="221"/>
    </row>
    <row r="21" spans="2:19" ht="15" customHeight="1" x14ac:dyDescent="0.25">
      <c r="B21" s="221"/>
      <c r="C21" s="230" t="s">
        <v>1155</v>
      </c>
      <c r="D21" s="230" t="s">
        <v>1156</v>
      </c>
      <c r="E21" s="230" t="s">
        <v>1157</v>
      </c>
      <c r="F21" s="230" t="s">
        <v>1158</v>
      </c>
      <c r="G21" s="230" t="s">
        <v>1159</v>
      </c>
      <c r="H21" s="230" t="s">
        <v>1160</v>
      </c>
      <c r="I21" s="230" t="s">
        <v>1161</v>
      </c>
      <c r="J21" s="230" t="s">
        <v>1162</v>
      </c>
      <c r="K21" s="230" t="s">
        <v>1163</v>
      </c>
      <c r="L21" s="230" t="s">
        <v>1164</v>
      </c>
      <c r="M21" s="230" t="s">
        <v>1165</v>
      </c>
      <c r="N21" s="230" t="s">
        <v>1166</v>
      </c>
      <c r="O21" s="230" t="s">
        <v>1167</v>
      </c>
      <c r="P21" s="230" t="s">
        <v>1168</v>
      </c>
      <c r="Q21" s="230" t="s">
        <v>1169</v>
      </c>
      <c r="R21" s="230" t="s">
        <v>1170</v>
      </c>
      <c r="S21" s="221"/>
    </row>
    <row r="22" spans="2:19" ht="15" customHeight="1" x14ac:dyDescent="0.25">
      <c r="B22" s="221"/>
      <c r="C22" s="221"/>
      <c r="D22" s="221"/>
      <c r="E22" s="221"/>
      <c r="F22" s="221"/>
      <c r="G22" s="221"/>
      <c r="H22" s="221"/>
      <c r="I22" s="221"/>
      <c r="J22" s="221"/>
      <c r="K22" s="221"/>
      <c r="L22" s="221"/>
      <c r="M22" s="221"/>
      <c r="N22" s="221"/>
      <c r="O22" s="221"/>
      <c r="P22" s="221"/>
      <c r="Q22" s="221"/>
      <c r="R22" s="221"/>
      <c r="S22" s="221"/>
    </row>
    <row r="23" spans="2:19" ht="15" customHeight="1" x14ac:dyDescent="0.25">
      <c r="B23" s="221"/>
      <c r="C23" s="221"/>
      <c r="D23" s="221"/>
      <c r="E23" s="221"/>
      <c r="F23" s="221"/>
      <c r="G23" s="221"/>
      <c r="H23" s="221"/>
      <c r="I23" s="221"/>
      <c r="J23" s="221"/>
      <c r="K23" s="221"/>
      <c r="L23" s="221"/>
      <c r="M23" s="221"/>
      <c r="N23" s="221"/>
      <c r="O23" s="221"/>
      <c r="P23" s="221"/>
      <c r="Q23" s="221"/>
      <c r="R23" s="221"/>
      <c r="S23" s="221"/>
    </row>
    <row r="24" spans="2:19" ht="15" customHeight="1" x14ac:dyDescent="0.25"/>
  </sheetData>
  <sheetProtection algorithmName="SHA-512" hashValue="pIn1RTa5jtqpANlENLimnLnU8WirF6SRchXO470PBckmsdYugXqqBkzu9ClNGsZCdrI5MvorQ4x4hWHHw6cqGQ==" saltValue="a3ot9pBRqW1Om+ETIGG1gQ==" spinCount="100000" sheet="1" objects="1" scenarios="1"/>
  <mergeCells count="3">
    <mergeCell ref="C3:H10"/>
    <mergeCell ref="C11:H12"/>
    <mergeCell ref="E14:F14"/>
  </mergeCells>
  <dataValidations count="1">
    <dataValidation type="decimal" showInputMessage="1" showErrorMessage="1" sqref="H18" xr:uid="{00000000-0002-0000-0300-000000000000}">
      <formula1>0</formula1>
      <formula2>65535</formula2>
    </dataValidation>
  </dataValidations>
  <hyperlinks>
    <hyperlink ref="C11" r:id="rId1" xr:uid="{00000000-0004-0000-0300-000000000000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10262" r:id="rId4" name="CheckBox2">
          <controlPr locked="0" defaultSize="0" autoLine="0" r:id="rId5">
            <anchor moveWithCells="1">
              <from>
                <xdr:col>3</xdr:col>
                <xdr:colOff>247650</xdr:colOff>
                <xdr:row>20</xdr:row>
                <xdr:rowOff>180975</xdr:rowOff>
              </from>
              <to>
                <xdr:col>3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2" r:id="rId4" name="CheckBox2"/>
      </mc:Fallback>
    </mc:AlternateContent>
    <mc:AlternateContent xmlns:mc="http://schemas.openxmlformats.org/markup-compatibility/2006">
      <mc:Choice Requires="x14">
        <control shapeId="10263" r:id="rId6" name="CheckBox1">
          <controlPr locked="0" defaultSize="0" autoLine="0" r:id="rId5">
            <anchor moveWithCells="1">
              <from>
                <xdr:col>2</xdr:col>
                <xdr:colOff>247650</xdr:colOff>
                <xdr:row>20</xdr:row>
                <xdr:rowOff>180975</xdr:rowOff>
              </from>
              <to>
                <xdr:col>2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3" r:id="rId6" name="CheckBox1"/>
      </mc:Fallback>
    </mc:AlternateContent>
    <mc:AlternateContent xmlns:mc="http://schemas.openxmlformats.org/markup-compatibility/2006">
      <mc:Choice Requires="x14">
        <control shapeId="10264" r:id="rId7" name="CheckBox3">
          <controlPr locked="0" defaultSize="0" autoLine="0" r:id="rId5">
            <anchor moveWithCells="1">
              <from>
                <xdr:col>4</xdr:col>
                <xdr:colOff>247650</xdr:colOff>
                <xdr:row>20</xdr:row>
                <xdr:rowOff>180975</xdr:rowOff>
              </from>
              <to>
                <xdr:col>4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4" r:id="rId7" name="CheckBox3"/>
      </mc:Fallback>
    </mc:AlternateContent>
    <mc:AlternateContent xmlns:mc="http://schemas.openxmlformats.org/markup-compatibility/2006">
      <mc:Choice Requires="x14">
        <control shapeId="10265" r:id="rId8" name="CheckBox4">
          <controlPr locked="0" defaultSize="0" autoLine="0" r:id="rId5">
            <anchor moveWithCells="1">
              <from>
                <xdr:col>5</xdr:col>
                <xdr:colOff>247650</xdr:colOff>
                <xdr:row>20</xdr:row>
                <xdr:rowOff>180975</xdr:rowOff>
              </from>
              <to>
                <xdr:col>5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5" r:id="rId8" name="CheckBox4"/>
      </mc:Fallback>
    </mc:AlternateContent>
    <mc:AlternateContent xmlns:mc="http://schemas.openxmlformats.org/markup-compatibility/2006">
      <mc:Choice Requires="x14">
        <control shapeId="10266" r:id="rId9" name="CheckBox5">
          <controlPr locked="0" defaultSize="0" autoLine="0" r:id="rId5">
            <anchor moveWithCells="1">
              <from>
                <xdr:col>6</xdr:col>
                <xdr:colOff>247650</xdr:colOff>
                <xdr:row>20</xdr:row>
                <xdr:rowOff>180975</xdr:rowOff>
              </from>
              <to>
                <xdr:col>6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6" r:id="rId9" name="CheckBox5"/>
      </mc:Fallback>
    </mc:AlternateContent>
    <mc:AlternateContent xmlns:mc="http://schemas.openxmlformats.org/markup-compatibility/2006">
      <mc:Choice Requires="x14">
        <control shapeId="10267" r:id="rId10" name="CheckBox6">
          <controlPr locked="0" defaultSize="0" autoLine="0" r:id="rId5">
            <anchor moveWithCells="1">
              <from>
                <xdr:col>7</xdr:col>
                <xdr:colOff>247650</xdr:colOff>
                <xdr:row>20</xdr:row>
                <xdr:rowOff>180975</xdr:rowOff>
              </from>
              <to>
                <xdr:col>7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7" r:id="rId10" name="CheckBox6"/>
      </mc:Fallback>
    </mc:AlternateContent>
    <mc:AlternateContent xmlns:mc="http://schemas.openxmlformats.org/markup-compatibility/2006">
      <mc:Choice Requires="x14">
        <control shapeId="10268" r:id="rId11" name="CheckBox7">
          <controlPr locked="0" defaultSize="0" autoLine="0" r:id="rId5">
            <anchor moveWithCells="1">
              <from>
                <xdr:col>8</xdr:col>
                <xdr:colOff>247650</xdr:colOff>
                <xdr:row>20</xdr:row>
                <xdr:rowOff>180975</xdr:rowOff>
              </from>
              <to>
                <xdr:col>8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8" r:id="rId11" name="CheckBox7"/>
      </mc:Fallback>
    </mc:AlternateContent>
    <mc:AlternateContent xmlns:mc="http://schemas.openxmlformats.org/markup-compatibility/2006">
      <mc:Choice Requires="x14">
        <control shapeId="10269" r:id="rId12" name="CheckBox8">
          <controlPr locked="0" defaultSize="0" autoLine="0" r:id="rId5">
            <anchor moveWithCells="1">
              <from>
                <xdr:col>9</xdr:col>
                <xdr:colOff>247650</xdr:colOff>
                <xdr:row>20</xdr:row>
                <xdr:rowOff>180975</xdr:rowOff>
              </from>
              <to>
                <xdr:col>9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9" r:id="rId12" name="CheckBox8"/>
      </mc:Fallback>
    </mc:AlternateContent>
    <mc:AlternateContent xmlns:mc="http://schemas.openxmlformats.org/markup-compatibility/2006">
      <mc:Choice Requires="x14">
        <control shapeId="10270" r:id="rId13" name="CheckBox9">
          <controlPr locked="0" defaultSize="0" autoLine="0" r:id="rId5">
            <anchor moveWithCells="1">
              <from>
                <xdr:col>10</xdr:col>
                <xdr:colOff>247650</xdr:colOff>
                <xdr:row>20</xdr:row>
                <xdr:rowOff>180975</xdr:rowOff>
              </from>
              <to>
                <xdr:col>10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0" r:id="rId13" name="CheckBox9"/>
      </mc:Fallback>
    </mc:AlternateContent>
    <mc:AlternateContent xmlns:mc="http://schemas.openxmlformats.org/markup-compatibility/2006">
      <mc:Choice Requires="x14">
        <control shapeId="10271" r:id="rId14" name="CheckBox10">
          <controlPr locked="0" defaultSize="0" autoLine="0" r:id="rId5">
            <anchor moveWithCells="1">
              <from>
                <xdr:col>11</xdr:col>
                <xdr:colOff>247650</xdr:colOff>
                <xdr:row>20</xdr:row>
                <xdr:rowOff>180975</xdr:rowOff>
              </from>
              <to>
                <xdr:col>11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1" r:id="rId14" name="CheckBox10"/>
      </mc:Fallback>
    </mc:AlternateContent>
    <mc:AlternateContent xmlns:mc="http://schemas.openxmlformats.org/markup-compatibility/2006">
      <mc:Choice Requires="x14">
        <control shapeId="10272" r:id="rId15" name="CheckBox11">
          <controlPr locked="0" defaultSize="0" autoLine="0" r:id="rId5">
            <anchor moveWithCells="1">
              <from>
                <xdr:col>12</xdr:col>
                <xdr:colOff>247650</xdr:colOff>
                <xdr:row>20</xdr:row>
                <xdr:rowOff>180975</xdr:rowOff>
              </from>
              <to>
                <xdr:col>12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2" r:id="rId15" name="CheckBox11"/>
      </mc:Fallback>
    </mc:AlternateContent>
    <mc:AlternateContent xmlns:mc="http://schemas.openxmlformats.org/markup-compatibility/2006">
      <mc:Choice Requires="x14">
        <control shapeId="10273" r:id="rId16" name="CheckBox12">
          <controlPr locked="0" defaultSize="0" autoLine="0" r:id="rId5">
            <anchor moveWithCells="1">
              <from>
                <xdr:col>13</xdr:col>
                <xdr:colOff>247650</xdr:colOff>
                <xdr:row>20</xdr:row>
                <xdr:rowOff>180975</xdr:rowOff>
              </from>
              <to>
                <xdr:col>13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3" r:id="rId16" name="CheckBox12"/>
      </mc:Fallback>
    </mc:AlternateContent>
    <mc:AlternateContent xmlns:mc="http://schemas.openxmlformats.org/markup-compatibility/2006">
      <mc:Choice Requires="x14">
        <control shapeId="10274" r:id="rId17" name="CheckBox13">
          <controlPr locked="0" defaultSize="0" autoLine="0" r:id="rId5">
            <anchor moveWithCells="1">
              <from>
                <xdr:col>14</xdr:col>
                <xdr:colOff>247650</xdr:colOff>
                <xdr:row>20</xdr:row>
                <xdr:rowOff>180975</xdr:rowOff>
              </from>
              <to>
                <xdr:col>14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4" r:id="rId17" name="CheckBox13"/>
      </mc:Fallback>
    </mc:AlternateContent>
    <mc:AlternateContent xmlns:mc="http://schemas.openxmlformats.org/markup-compatibility/2006">
      <mc:Choice Requires="x14">
        <control shapeId="10275" r:id="rId18" name="CheckBox14">
          <controlPr locked="0" defaultSize="0" autoLine="0" r:id="rId5">
            <anchor moveWithCells="1">
              <from>
                <xdr:col>15</xdr:col>
                <xdr:colOff>247650</xdr:colOff>
                <xdr:row>20</xdr:row>
                <xdr:rowOff>180975</xdr:rowOff>
              </from>
              <to>
                <xdr:col>15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5" r:id="rId18" name="CheckBox14"/>
      </mc:Fallback>
    </mc:AlternateContent>
    <mc:AlternateContent xmlns:mc="http://schemas.openxmlformats.org/markup-compatibility/2006">
      <mc:Choice Requires="x14">
        <control shapeId="10276" r:id="rId19" name="CheckBox15">
          <controlPr locked="0" defaultSize="0" autoLine="0" r:id="rId5">
            <anchor moveWithCells="1">
              <from>
                <xdr:col>16</xdr:col>
                <xdr:colOff>247650</xdr:colOff>
                <xdr:row>20</xdr:row>
                <xdr:rowOff>180975</xdr:rowOff>
              </from>
              <to>
                <xdr:col>16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6" r:id="rId19" name="CheckBox15"/>
      </mc:Fallback>
    </mc:AlternateContent>
    <mc:AlternateContent xmlns:mc="http://schemas.openxmlformats.org/markup-compatibility/2006">
      <mc:Choice Requires="x14">
        <control shapeId="10277" r:id="rId20" name="CheckBox16">
          <controlPr locked="0" defaultSize="0" autoLine="0" r:id="rId5">
            <anchor moveWithCells="1">
              <from>
                <xdr:col>17</xdr:col>
                <xdr:colOff>247650</xdr:colOff>
                <xdr:row>20</xdr:row>
                <xdr:rowOff>180975</xdr:rowOff>
              </from>
              <to>
                <xdr:col>17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7" r:id="rId20" name="CheckBox16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B2:L950"/>
  <sheetViews>
    <sheetView workbookViewId="0">
      <selection activeCell="J8" sqref="J8"/>
    </sheetView>
  </sheetViews>
  <sheetFormatPr defaultRowHeight="15" x14ac:dyDescent="0.25"/>
  <cols>
    <col min="1" max="1" width="2" style="2" customWidth="1"/>
    <col min="2" max="2" width="5.7109375" style="2" customWidth="1"/>
    <col min="3" max="3" width="23.140625" style="2" customWidth="1"/>
    <col min="4" max="5" width="25.7109375" style="2" customWidth="1"/>
    <col min="6" max="6" width="12.85546875" style="2" customWidth="1"/>
    <col min="7" max="7" width="22.42578125" style="2" customWidth="1"/>
    <col min="8" max="8" width="5.7109375" style="2" customWidth="1"/>
    <col min="9" max="9" width="14.28515625" style="2" customWidth="1"/>
    <col min="10" max="10" width="6.7109375" style="100" customWidth="1"/>
    <col min="11" max="11" width="4.7109375" style="101" customWidth="1"/>
    <col min="12" max="12" width="6.7109375" style="100" customWidth="1"/>
    <col min="13" max="16384" width="9.140625" style="2"/>
  </cols>
  <sheetData>
    <row r="2" spans="2:8" x14ac:dyDescent="0.25">
      <c r="B2" s="22"/>
      <c r="C2" s="22"/>
      <c r="D2" s="22"/>
      <c r="E2" s="22"/>
      <c r="F2" s="22"/>
      <c r="G2" s="22"/>
      <c r="H2" s="22"/>
    </row>
    <row r="3" spans="2:8" ht="15" customHeight="1" x14ac:dyDescent="0.25">
      <c r="B3" s="48"/>
      <c r="C3" s="299" t="s">
        <v>1276</v>
      </c>
      <c r="D3" s="300"/>
      <c r="E3" s="300"/>
      <c r="F3" s="301"/>
      <c r="G3" s="331"/>
      <c r="H3" s="22"/>
    </row>
    <row r="4" spans="2:8" x14ac:dyDescent="0.25">
      <c r="B4" s="48"/>
      <c r="C4" s="302"/>
      <c r="D4" s="301"/>
      <c r="E4" s="301"/>
      <c r="F4" s="301"/>
      <c r="G4" s="331"/>
      <c r="H4" s="22"/>
    </row>
    <row r="5" spans="2:8" x14ac:dyDescent="0.25">
      <c r="B5" s="48"/>
      <c r="C5" s="302"/>
      <c r="D5" s="301"/>
      <c r="E5" s="301"/>
      <c r="F5" s="301"/>
      <c r="G5" s="331"/>
      <c r="H5" s="22"/>
    </row>
    <row r="6" spans="2:8" x14ac:dyDescent="0.25">
      <c r="B6" s="48"/>
      <c r="C6" s="302"/>
      <c r="D6" s="301"/>
      <c r="E6" s="301"/>
      <c r="F6" s="301"/>
      <c r="G6" s="331"/>
      <c r="H6" s="22"/>
    </row>
    <row r="7" spans="2:8" x14ac:dyDescent="0.25">
      <c r="B7" s="48"/>
      <c r="C7" s="302"/>
      <c r="D7" s="301"/>
      <c r="E7" s="301"/>
      <c r="F7" s="301"/>
      <c r="G7" s="331"/>
      <c r="H7" s="22"/>
    </row>
    <row r="8" spans="2:8" x14ac:dyDescent="0.25">
      <c r="B8" s="58"/>
      <c r="C8" s="302"/>
      <c r="D8" s="301"/>
      <c r="E8" s="301"/>
      <c r="F8" s="301"/>
      <c r="G8" s="331"/>
      <c r="H8" s="1"/>
    </row>
    <row r="9" spans="2:8" x14ac:dyDescent="0.25">
      <c r="B9" s="58"/>
      <c r="C9" s="302"/>
      <c r="D9" s="301"/>
      <c r="E9" s="301"/>
      <c r="F9" s="301"/>
      <c r="G9" s="331"/>
      <c r="H9" s="1"/>
    </row>
    <row r="10" spans="2:8" x14ac:dyDescent="0.25">
      <c r="B10" s="1"/>
      <c r="C10" s="302"/>
      <c r="D10" s="301"/>
      <c r="E10" s="301"/>
      <c r="F10" s="301"/>
      <c r="G10" s="331"/>
      <c r="H10" s="1"/>
    </row>
    <row r="11" spans="2:8" x14ac:dyDescent="0.25">
      <c r="B11" s="48"/>
      <c r="C11" s="303" t="s">
        <v>0</v>
      </c>
      <c r="D11" s="301"/>
      <c r="E11" s="301"/>
      <c r="F11" s="301"/>
      <c r="G11" s="331"/>
      <c r="H11" s="1"/>
    </row>
    <row r="12" spans="2:8" x14ac:dyDescent="0.25">
      <c r="B12" s="48"/>
      <c r="C12" s="302"/>
      <c r="D12" s="300"/>
      <c r="E12" s="300"/>
      <c r="F12" s="301"/>
      <c r="G12" s="331"/>
      <c r="H12" s="22"/>
    </row>
    <row r="13" spans="2:8" x14ac:dyDescent="0.25">
      <c r="B13" s="22"/>
      <c r="C13" s="22"/>
      <c r="D13" s="22"/>
      <c r="E13" s="22"/>
      <c r="F13" s="22"/>
      <c r="G13" s="22"/>
      <c r="H13" s="22"/>
    </row>
    <row r="14" spans="2:8" x14ac:dyDescent="0.25">
      <c r="B14" s="22"/>
      <c r="C14" s="160"/>
      <c r="D14" s="32" t="s">
        <v>2</v>
      </c>
      <c r="E14" s="159" t="s">
        <v>1</v>
      </c>
      <c r="F14" s="159"/>
      <c r="G14" s="159"/>
      <c r="H14" s="159"/>
    </row>
    <row r="15" spans="2:8" x14ac:dyDescent="0.25">
      <c r="B15" s="22"/>
      <c r="C15" s="22"/>
      <c r="D15" s="22"/>
      <c r="E15" s="22"/>
      <c r="F15" s="1"/>
      <c r="G15" s="1"/>
      <c r="H15" s="1"/>
    </row>
    <row r="17" spans="2:8" x14ac:dyDescent="0.25">
      <c r="B17" s="1"/>
      <c r="C17" s="1"/>
      <c r="D17" s="1"/>
      <c r="E17" s="1"/>
      <c r="F17" s="1"/>
      <c r="G17" s="1"/>
      <c r="H17" s="1"/>
    </row>
    <row r="18" spans="2:8" ht="39.950000000000003" customHeight="1" thickBot="1" x14ac:dyDescent="0.3">
      <c r="B18" s="1"/>
      <c r="C18" s="273" t="s">
        <v>43</v>
      </c>
      <c r="D18" s="274" t="s">
        <v>44</v>
      </c>
      <c r="E18" s="275" t="s">
        <v>45</v>
      </c>
      <c r="F18" s="275" t="s">
        <v>978</v>
      </c>
      <c r="G18" s="276" t="s">
        <v>998</v>
      </c>
      <c r="H18" s="1"/>
    </row>
    <row r="19" spans="2:8" ht="18" thickTop="1" x14ac:dyDescent="0.25">
      <c r="B19" s="1"/>
      <c r="C19" s="269" t="s">
        <v>46</v>
      </c>
      <c r="D19" s="163">
        <v>254.09185347035429</v>
      </c>
      <c r="E19" s="164">
        <f>D19/0.684</f>
        <v>371.47931793911442</v>
      </c>
      <c r="F19" s="163">
        <v>2.4</v>
      </c>
      <c r="G19" s="271" t="s">
        <v>979</v>
      </c>
      <c r="H19" s="1"/>
    </row>
    <row r="20" spans="2:8" ht="17.25" x14ac:dyDescent="0.25">
      <c r="B20" s="1"/>
      <c r="C20" s="270" t="s">
        <v>47</v>
      </c>
      <c r="D20" s="161">
        <v>254.09185347035429</v>
      </c>
      <c r="E20" s="162">
        <f t="shared" ref="E20:E83" si="0">D20/0.684</f>
        <v>371.47931793911442</v>
      </c>
      <c r="F20" s="161">
        <v>2.4</v>
      </c>
      <c r="G20" s="272" t="s">
        <v>979</v>
      </c>
      <c r="H20" s="1"/>
    </row>
    <row r="21" spans="2:8" ht="17.25" x14ac:dyDescent="0.25">
      <c r="B21" s="1"/>
      <c r="C21" s="270" t="s">
        <v>48</v>
      </c>
      <c r="D21" s="161">
        <v>254.09185347035429</v>
      </c>
      <c r="E21" s="162">
        <f t="shared" si="0"/>
        <v>371.47931793911442</v>
      </c>
      <c r="F21" s="161">
        <v>2.4</v>
      </c>
      <c r="G21" s="272" t="s">
        <v>979</v>
      </c>
      <c r="H21" s="1"/>
    </row>
    <row r="22" spans="2:8" ht="17.25" x14ac:dyDescent="0.25">
      <c r="B22" s="1"/>
      <c r="C22" s="270" t="s">
        <v>49</v>
      </c>
      <c r="D22" s="161"/>
      <c r="E22" s="162"/>
      <c r="F22" s="161">
        <v>2.4</v>
      </c>
      <c r="G22" s="272" t="s">
        <v>979</v>
      </c>
      <c r="H22" s="1"/>
    </row>
    <row r="23" spans="2:8" ht="17.25" x14ac:dyDescent="0.25">
      <c r="B23" s="1"/>
      <c r="C23" s="270" t="s">
        <v>50</v>
      </c>
      <c r="D23" s="161">
        <v>304.90280108953556</v>
      </c>
      <c r="E23" s="162">
        <f t="shared" si="0"/>
        <v>445.7643290782683</v>
      </c>
      <c r="F23" s="161">
        <v>2.4</v>
      </c>
      <c r="G23" s="272" t="s">
        <v>979</v>
      </c>
      <c r="H23" s="1"/>
    </row>
    <row r="24" spans="2:8" ht="17.25" x14ac:dyDescent="0.25">
      <c r="B24" s="1"/>
      <c r="C24" s="270" t="s">
        <v>51</v>
      </c>
      <c r="D24" s="161">
        <v>304.90280108953556</v>
      </c>
      <c r="E24" s="162">
        <f t="shared" si="0"/>
        <v>445.7643290782683</v>
      </c>
      <c r="F24" s="161">
        <v>2.4</v>
      </c>
      <c r="G24" s="272" t="s">
        <v>979</v>
      </c>
      <c r="H24" s="1"/>
    </row>
    <row r="25" spans="2:8" ht="17.25" x14ac:dyDescent="0.25">
      <c r="B25" s="1"/>
      <c r="C25" s="270" t="s">
        <v>52</v>
      </c>
      <c r="D25" s="161">
        <v>254.09185347035429</v>
      </c>
      <c r="E25" s="162">
        <f t="shared" si="0"/>
        <v>371.47931793911442</v>
      </c>
      <c r="F25" s="161">
        <v>2.4</v>
      </c>
      <c r="G25" s="272" t="s">
        <v>979</v>
      </c>
      <c r="H25" s="1"/>
    </row>
    <row r="26" spans="2:8" ht="17.25" x14ac:dyDescent="0.25">
      <c r="B26" s="1"/>
      <c r="C26" s="270" t="s">
        <v>53</v>
      </c>
      <c r="D26" s="161">
        <v>254.09185347035429</v>
      </c>
      <c r="E26" s="162">
        <f t="shared" si="0"/>
        <v>371.47931793911442</v>
      </c>
      <c r="F26" s="161">
        <v>2.4</v>
      </c>
      <c r="G26" s="272" t="s">
        <v>979</v>
      </c>
      <c r="H26" s="1"/>
    </row>
    <row r="27" spans="2:8" ht="17.25" x14ac:dyDescent="0.25">
      <c r="B27" s="1"/>
      <c r="C27" s="270" t="s">
        <v>54</v>
      </c>
      <c r="D27" s="161">
        <v>304.90280108953556</v>
      </c>
      <c r="E27" s="162">
        <f t="shared" si="0"/>
        <v>445.7643290782683</v>
      </c>
      <c r="F27" s="161">
        <v>2.4</v>
      </c>
      <c r="G27" s="272" t="s">
        <v>979</v>
      </c>
      <c r="H27" s="1"/>
    </row>
    <row r="28" spans="2:8" ht="17.25" x14ac:dyDescent="0.25">
      <c r="B28" s="1"/>
      <c r="C28" s="270" t="s">
        <v>55</v>
      </c>
      <c r="D28" s="161">
        <v>364.34925916359595</v>
      </c>
      <c r="E28" s="162">
        <f t="shared" si="0"/>
        <v>532.67435550233324</v>
      </c>
      <c r="F28" s="161">
        <v>2.4</v>
      </c>
      <c r="G28" s="272" t="s">
        <v>979</v>
      </c>
      <c r="H28" s="1"/>
    </row>
    <row r="29" spans="2:8" ht="17.25" x14ac:dyDescent="0.25">
      <c r="B29" s="1"/>
      <c r="C29" s="270" t="s">
        <v>56</v>
      </c>
      <c r="D29" s="161">
        <v>304.90280108953556</v>
      </c>
      <c r="E29" s="162">
        <f t="shared" si="0"/>
        <v>445.7643290782683</v>
      </c>
      <c r="F29" s="161">
        <v>2.4</v>
      </c>
      <c r="G29" s="272" t="s">
        <v>979</v>
      </c>
      <c r="H29" s="1"/>
    </row>
    <row r="30" spans="2:8" ht="17.25" x14ac:dyDescent="0.25">
      <c r="B30" s="1"/>
      <c r="C30" s="270" t="s">
        <v>57</v>
      </c>
      <c r="D30" s="161"/>
      <c r="E30" s="162"/>
      <c r="F30" s="161">
        <v>2.4</v>
      </c>
      <c r="G30" s="272" t="s">
        <v>979</v>
      </c>
      <c r="H30" s="1"/>
    </row>
    <row r="31" spans="2:8" ht="17.25" x14ac:dyDescent="0.25">
      <c r="B31" s="1"/>
      <c r="C31" s="270" t="s">
        <v>58</v>
      </c>
      <c r="D31" s="161">
        <v>304.90280108953556</v>
      </c>
      <c r="E31" s="162">
        <f t="shared" si="0"/>
        <v>445.7643290782683</v>
      </c>
      <c r="F31" s="161">
        <v>2.4</v>
      </c>
      <c r="G31" s="272" t="s">
        <v>979</v>
      </c>
      <c r="H31" s="1"/>
    </row>
    <row r="32" spans="2:8" ht="17.25" x14ac:dyDescent="0.25">
      <c r="B32" s="1"/>
      <c r="C32" s="270" t="s">
        <v>59</v>
      </c>
      <c r="D32" s="161">
        <v>364.34925916359595</v>
      </c>
      <c r="E32" s="162">
        <f t="shared" si="0"/>
        <v>532.67435550233324</v>
      </c>
      <c r="F32" s="161">
        <v>2.4</v>
      </c>
      <c r="G32" s="272" t="s">
        <v>979</v>
      </c>
      <c r="H32" s="1"/>
    </row>
    <row r="33" spans="2:8" ht="17.25" x14ac:dyDescent="0.25">
      <c r="B33" s="1"/>
      <c r="C33" s="270" t="s">
        <v>60</v>
      </c>
      <c r="D33" s="161">
        <v>304.90280108953556</v>
      </c>
      <c r="E33" s="162">
        <f t="shared" si="0"/>
        <v>445.7643290782683</v>
      </c>
      <c r="F33" s="161">
        <v>2.4</v>
      </c>
      <c r="G33" s="272" t="s">
        <v>979</v>
      </c>
      <c r="H33" s="1"/>
    </row>
    <row r="34" spans="2:8" ht="17.25" x14ac:dyDescent="0.25">
      <c r="B34" s="1"/>
      <c r="C34" s="270" t="s">
        <v>61</v>
      </c>
      <c r="D34" s="161">
        <v>364.34925916359595</v>
      </c>
      <c r="E34" s="162">
        <f t="shared" si="0"/>
        <v>532.67435550233324</v>
      </c>
      <c r="F34" s="161">
        <v>2.4</v>
      </c>
      <c r="G34" s="272" t="s">
        <v>979</v>
      </c>
      <c r="H34" s="1"/>
    </row>
    <row r="35" spans="2:8" ht="17.25" x14ac:dyDescent="0.25">
      <c r="B35" s="1"/>
      <c r="C35" s="270" t="s">
        <v>62</v>
      </c>
      <c r="D35" s="161">
        <v>254.09185347035429</v>
      </c>
      <c r="E35" s="162">
        <f t="shared" si="0"/>
        <v>371.47931793911442</v>
      </c>
      <c r="F35" s="161">
        <v>2.4</v>
      </c>
      <c r="G35" s="272" t="s">
        <v>979</v>
      </c>
      <c r="H35" s="1"/>
    </row>
    <row r="36" spans="2:8" ht="17.25" x14ac:dyDescent="0.25">
      <c r="B36" s="1"/>
      <c r="C36" s="270" t="s">
        <v>63</v>
      </c>
      <c r="D36" s="161">
        <v>304.90280108953556</v>
      </c>
      <c r="E36" s="162">
        <f t="shared" si="0"/>
        <v>445.7643290782683</v>
      </c>
      <c r="F36" s="161">
        <v>2.4</v>
      </c>
      <c r="G36" s="272" t="s">
        <v>979</v>
      </c>
      <c r="H36" s="1"/>
    </row>
    <row r="37" spans="2:8" ht="17.25" x14ac:dyDescent="0.25">
      <c r="B37" s="1"/>
      <c r="C37" s="270" t="s">
        <v>64</v>
      </c>
      <c r="D37" s="161">
        <v>505.23922056784147</v>
      </c>
      <c r="E37" s="162">
        <f t="shared" si="0"/>
        <v>738.65383123953427</v>
      </c>
      <c r="F37" s="161">
        <v>6.7</v>
      </c>
      <c r="G37" s="272" t="s">
        <v>980</v>
      </c>
      <c r="H37" s="1"/>
    </row>
    <row r="38" spans="2:8" ht="17.25" x14ac:dyDescent="0.25">
      <c r="B38" s="1"/>
      <c r="C38" s="270" t="s">
        <v>65</v>
      </c>
      <c r="D38" s="161">
        <v>440.4605203647655</v>
      </c>
      <c r="E38" s="162">
        <f t="shared" si="0"/>
        <v>643.94812918825357</v>
      </c>
      <c r="F38" s="161">
        <v>6.7</v>
      </c>
      <c r="G38" s="272" t="s">
        <v>980</v>
      </c>
      <c r="H38" s="1"/>
    </row>
    <row r="39" spans="2:8" ht="17.25" x14ac:dyDescent="0.25">
      <c r="B39" s="1"/>
      <c r="C39" s="270" t="s">
        <v>66</v>
      </c>
      <c r="D39" s="161">
        <v>699.74852625782637</v>
      </c>
      <c r="E39" s="162">
        <f t="shared" si="0"/>
        <v>1023.0241611956525</v>
      </c>
      <c r="F39" s="161">
        <v>1.3</v>
      </c>
      <c r="G39" s="272" t="s">
        <v>980</v>
      </c>
      <c r="H39" s="1"/>
    </row>
    <row r="40" spans="2:8" ht="17.25" x14ac:dyDescent="0.25">
      <c r="B40" s="1"/>
      <c r="C40" s="270" t="s">
        <v>67</v>
      </c>
      <c r="D40" s="161" t="s">
        <v>977</v>
      </c>
      <c r="E40" s="162"/>
      <c r="F40" s="161"/>
      <c r="G40" s="272" t="s">
        <v>980</v>
      </c>
      <c r="H40" s="1"/>
    </row>
    <row r="41" spans="2:8" ht="17.25" x14ac:dyDescent="0.25">
      <c r="B41" s="1"/>
      <c r="C41" s="270" t="s">
        <v>68</v>
      </c>
      <c r="D41" s="161">
        <v>834.8484892481988</v>
      </c>
      <c r="E41" s="162">
        <f t="shared" si="0"/>
        <v>1220.5387269710509</v>
      </c>
      <c r="F41" s="161">
        <v>1.3</v>
      </c>
      <c r="G41" s="272" t="s">
        <v>980</v>
      </c>
      <c r="H41" s="1"/>
    </row>
    <row r="42" spans="2:8" ht="17.25" x14ac:dyDescent="0.25">
      <c r="B42" s="1"/>
      <c r="C42" s="270" t="s">
        <v>69</v>
      </c>
      <c r="D42" s="161" t="s">
        <v>977</v>
      </c>
      <c r="E42" s="162"/>
      <c r="F42" s="161"/>
      <c r="G42" s="272" t="s">
        <v>980</v>
      </c>
      <c r="H42" s="1"/>
    </row>
    <row r="43" spans="2:8" ht="17.25" x14ac:dyDescent="0.25">
      <c r="B43" s="1"/>
      <c r="C43" s="270" t="s">
        <v>70</v>
      </c>
      <c r="D43" s="161">
        <v>642.59084960805342</v>
      </c>
      <c r="E43" s="162">
        <f t="shared" si="0"/>
        <v>939.46030644452242</v>
      </c>
      <c r="F43" s="161">
        <v>1.3</v>
      </c>
      <c r="G43" s="272" t="s">
        <v>980</v>
      </c>
      <c r="H43" s="1"/>
    </row>
    <row r="44" spans="2:8" ht="17.25" x14ac:dyDescent="0.25">
      <c r="B44" s="1"/>
      <c r="C44" s="270" t="s">
        <v>71</v>
      </c>
      <c r="D44" s="161" t="s">
        <v>977</v>
      </c>
      <c r="E44" s="162"/>
      <c r="F44" s="161"/>
      <c r="G44" s="272" t="s">
        <v>980</v>
      </c>
      <c r="H44" s="1"/>
    </row>
    <row r="45" spans="2:8" ht="17.25" x14ac:dyDescent="0.25">
      <c r="B45" s="1"/>
      <c r="C45" s="270" t="s">
        <v>72</v>
      </c>
      <c r="D45" s="161">
        <v>867.75745459200743</v>
      </c>
      <c r="E45" s="162">
        <f t="shared" si="0"/>
        <v>1268.6512494035196</v>
      </c>
      <c r="F45" s="161">
        <v>1.3</v>
      </c>
      <c r="G45" s="272" t="s">
        <v>980</v>
      </c>
      <c r="H45" s="1"/>
    </row>
    <row r="46" spans="2:8" ht="17.25" x14ac:dyDescent="0.25">
      <c r="B46" s="1"/>
      <c r="C46" s="270" t="s">
        <v>73</v>
      </c>
      <c r="D46" s="161">
        <v>536.93575034635194</v>
      </c>
      <c r="E46" s="162">
        <f t="shared" si="0"/>
        <v>784.99378705607</v>
      </c>
      <c r="F46" s="161">
        <v>6.7</v>
      </c>
      <c r="G46" s="272" t="s">
        <v>980</v>
      </c>
      <c r="H46" s="1"/>
    </row>
    <row r="47" spans="2:8" ht="17.25" x14ac:dyDescent="0.25">
      <c r="B47" s="1"/>
      <c r="C47" s="270" t="s">
        <v>74</v>
      </c>
      <c r="D47" s="161">
        <v>911.05872478122944</v>
      </c>
      <c r="E47" s="162">
        <f t="shared" si="0"/>
        <v>1331.9571999725576</v>
      </c>
      <c r="F47" s="161">
        <v>1.3</v>
      </c>
      <c r="G47" s="272" t="s">
        <v>980</v>
      </c>
      <c r="H47" s="1"/>
    </row>
    <row r="48" spans="2:8" ht="17.25" x14ac:dyDescent="0.25">
      <c r="B48" s="1"/>
      <c r="C48" s="270" t="s">
        <v>75</v>
      </c>
      <c r="D48" s="161" t="s">
        <v>977</v>
      </c>
      <c r="E48" s="162"/>
      <c r="F48" s="161"/>
      <c r="G48" s="272" t="s">
        <v>980</v>
      </c>
      <c r="H48" s="1"/>
    </row>
    <row r="49" spans="2:8" ht="17.25" x14ac:dyDescent="0.25">
      <c r="B49" s="1"/>
      <c r="C49" s="270" t="s">
        <v>76</v>
      </c>
      <c r="D49" s="161">
        <v>610.72111474878614</v>
      </c>
      <c r="E49" s="162">
        <f t="shared" si="0"/>
        <v>892.86712682571067</v>
      </c>
      <c r="F49" s="161">
        <v>1.3</v>
      </c>
      <c r="G49" s="272" t="s">
        <v>980</v>
      </c>
      <c r="H49" s="1"/>
    </row>
    <row r="50" spans="2:8" ht="17.25" x14ac:dyDescent="0.25">
      <c r="B50" s="1"/>
      <c r="C50" s="270" t="s">
        <v>77</v>
      </c>
      <c r="D50" s="161">
        <v>792.932859705032</v>
      </c>
      <c r="E50" s="162">
        <f t="shared" si="0"/>
        <v>1159.2585668202221</v>
      </c>
      <c r="F50" s="161">
        <v>1.03</v>
      </c>
      <c r="G50" s="272" t="s">
        <v>980</v>
      </c>
      <c r="H50" s="1"/>
    </row>
    <row r="51" spans="2:8" ht="17.25" x14ac:dyDescent="0.25">
      <c r="B51" s="1"/>
      <c r="C51" s="270" t="s">
        <v>78</v>
      </c>
      <c r="D51" s="161" t="s">
        <v>977</v>
      </c>
      <c r="E51" s="162"/>
      <c r="F51" s="161"/>
      <c r="G51" s="272" t="s">
        <v>980</v>
      </c>
      <c r="H51" s="1"/>
    </row>
    <row r="52" spans="2:8" ht="17.25" x14ac:dyDescent="0.25">
      <c r="B52" s="1"/>
      <c r="C52" s="270" t="s">
        <v>79</v>
      </c>
      <c r="D52" s="161">
        <v>610.72111474878614</v>
      </c>
      <c r="E52" s="162">
        <f t="shared" si="0"/>
        <v>892.86712682571067</v>
      </c>
      <c r="F52" s="161">
        <v>1.3</v>
      </c>
      <c r="G52" s="272" t="s">
        <v>980</v>
      </c>
      <c r="H52" s="1"/>
    </row>
    <row r="53" spans="2:8" ht="17.25" x14ac:dyDescent="0.25">
      <c r="B53" s="1"/>
      <c r="C53" s="270" t="s">
        <v>80</v>
      </c>
      <c r="D53" s="161">
        <v>351.60631393648208</v>
      </c>
      <c r="E53" s="162">
        <f t="shared" si="0"/>
        <v>514.04431862058777</v>
      </c>
      <c r="F53" s="161">
        <v>10</v>
      </c>
      <c r="G53" s="272" t="s">
        <v>980</v>
      </c>
      <c r="H53" s="1"/>
    </row>
    <row r="54" spans="2:8" ht="17.25" x14ac:dyDescent="0.25">
      <c r="B54" s="1"/>
      <c r="C54" s="270" t="s">
        <v>81</v>
      </c>
      <c r="D54" s="161">
        <v>718.80108514108406</v>
      </c>
      <c r="E54" s="162">
        <f t="shared" si="0"/>
        <v>1050.8787794460293</v>
      </c>
      <c r="F54" s="161">
        <v>1.3</v>
      </c>
      <c r="G54" s="272" t="s">
        <v>980</v>
      </c>
      <c r="H54" s="1"/>
    </row>
    <row r="55" spans="2:8" ht="17.25" x14ac:dyDescent="0.25">
      <c r="B55" s="1"/>
      <c r="C55" s="270" t="s">
        <v>82</v>
      </c>
      <c r="D55" s="161"/>
      <c r="E55" s="162"/>
      <c r="F55" s="161">
        <v>2.4</v>
      </c>
      <c r="G55" s="272" t="s">
        <v>979</v>
      </c>
      <c r="H55" s="1"/>
    </row>
    <row r="56" spans="2:8" ht="17.25" x14ac:dyDescent="0.25">
      <c r="B56" s="1"/>
      <c r="C56" s="270" t="s">
        <v>83</v>
      </c>
      <c r="D56" s="161"/>
      <c r="E56" s="162"/>
      <c r="F56" s="161">
        <v>2.4</v>
      </c>
      <c r="G56" s="272" t="s">
        <v>979</v>
      </c>
      <c r="H56" s="1"/>
    </row>
    <row r="57" spans="2:8" ht="17.25" x14ac:dyDescent="0.25">
      <c r="B57" s="1"/>
      <c r="C57" s="270" t="s">
        <v>84</v>
      </c>
      <c r="D57" s="161"/>
      <c r="E57" s="162"/>
      <c r="F57" s="161">
        <v>2.4</v>
      </c>
      <c r="G57" s="272" t="s">
        <v>979</v>
      </c>
      <c r="H57" s="1"/>
    </row>
    <row r="58" spans="2:8" ht="17.25" x14ac:dyDescent="0.25">
      <c r="B58" s="1"/>
      <c r="C58" s="270" t="s">
        <v>85</v>
      </c>
      <c r="D58" s="161"/>
      <c r="E58" s="162"/>
      <c r="F58" s="161">
        <v>2.4</v>
      </c>
      <c r="G58" s="272" t="s">
        <v>979</v>
      </c>
      <c r="H58" s="1"/>
    </row>
    <row r="59" spans="2:8" ht="17.25" x14ac:dyDescent="0.25">
      <c r="B59" s="1"/>
      <c r="C59" s="270" t="s">
        <v>86</v>
      </c>
      <c r="D59" s="161">
        <v>143.37</v>
      </c>
      <c r="E59" s="162">
        <f t="shared" si="0"/>
        <v>209.60526315789474</v>
      </c>
      <c r="F59" s="161">
        <v>2.4</v>
      </c>
      <c r="G59" s="272" t="s">
        <v>979</v>
      </c>
      <c r="H59" s="1"/>
    </row>
    <row r="60" spans="2:8" ht="17.25" x14ac:dyDescent="0.25">
      <c r="B60" s="1"/>
      <c r="C60" s="270" t="s">
        <v>87</v>
      </c>
      <c r="D60" s="161"/>
      <c r="E60" s="162"/>
      <c r="F60" s="161">
        <v>2.4</v>
      </c>
      <c r="G60" s="272" t="s">
        <v>979</v>
      </c>
      <c r="H60" s="1"/>
    </row>
    <row r="61" spans="2:8" ht="17.25" x14ac:dyDescent="0.25">
      <c r="B61" s="1"/>
      <c r="C61" s="270" t="s">
        <v>88</v>
      </c>
      <c r="D61" s="161"/>
      <c r="E61" s="162"/>
      <c r="F61" s="161">
        <v>2.4</v>
      </c>
      <c r="G61" s="272" t="s">
        <v>979</v>
      </c>
      <c r="H61" s="1"/>
    </row>
    <row r="62" spans="2:8" ht="17.25" x14ac:dyDescent="0.25">
      <c r="B62" s="1"/>
      <c r="C62" s="270" t="s">
        <v>89</v>
      </c>
      <c r="D62" s="161"/>
      <c r="E62" s="162"/>
      <c r="F62" s="161">
        <v>2.4</v>
      </c>
      <c r="G62" s="272" t="s">
        <v>979</v>
      </c>
      <c r="H62" s="1"/>
    </row>
    <row r="63" spans="2:8" ht="17.25" x14ac:dyDescent="0.25">
      <c r="B63" s="1"/>
      <c r="C63" s="270" t="s">
        <v>90</v>
      </c>
      <c r="D63" s="161"/>
      <c r="E63" s="162"/>
      <c r="F63" s="161">
        <v>2.4</v>
      </c>
      <c r="G63" s="272" t="s">
        <v>979</v>
      </c>
      <c r="H63" s="1"/>
    </row>
    <row r="64" spans="2:8" ht="17.25" x14ac:dyDescent="0.25">
      <c r="B64" s="1"/>
      <c r="C64" s="270" t="s">
        <v>91</v>
      </c>
      <c r="D64" s="161"/>
      <c r="E64" s="162"/>
      <c r="F64" s="161"/>
      <c r="G64" s="272"/>
      <c r="H64" s="1"/>
    </row>
    <row r="65" spans="2:8" ht="17.25" x14ac:dyDescent="0.25">
      <c r="B65" s="1"/>
      <c r="C65" s="270" t="s">
        <v>92</v>
      </c>
      <c r="D65" s="161"/>
      <c r="E65" s="162"/>
      <c r="F65" s="161"/>
      <c r="G65" s="272"/>
      <c r="H65" s="1"/>
    </row>
    <row r="66" spans="2:8" ht="17.25" x14ac:dyDescent="0.25">
      <c r="B66" s="1"/>
      <c r="C66" s="270" t="s">
        <v>93</v>
      </c>
      <c r="D66" s="161">
        <v>143.37</v>
      </c>
      <c r="E66" s="162">
        <f t="shared" si="0"/>
        <v>209.60526315789474</v>
      </c>
      <c r="F66" s="161">
        <v>2.4</v>
      </c>
      <c r="G66" s="272" t="s">
        <v>979</v>
      </c>
      <c r="H66" s="1"/>
    </row>
    <row r="67" spans="2:8" ht="17.25" x14ac:dyDescent="0.25">
      <c r="B67" s="1"/>
      <c r="C67" s="270" t="s">
        <v>94</v>
      </c>
      <c r="D67" s="161">
        <v>143.37</v>
      </c>
      <c r="E67" s="162">
        <f t="shared" si="0"/>
        <v>209.60526315789474</v>
      </c>
      <c r="F67" s="161">
        <v>2.4</v>
      </c>
      <c r="G67" s="272" t="s">
        <v>979</v>
      </c>
      <c r="H67" s="1"/>
    </row>
    <row r="68" spans="2:8" ht="17.25" x14ac:dyDescent="0.25">
      <c r="B68" s="1"/>
      <c r="C68" s="270" t="s">
        <v>95</v>
      </c>
      <c r="D68" s="161"/>
      <c r="E68" s="162"/>
      <c r="F68" s="161"/>
      <c r="G68" s="272"/>
      <c r="H68" s="1"/>
    </row>
    <row r="69" spans="2:8" ht="17.25" x14ac:dyDescent="0.25">
      <c r="B69" s="1"/>
      <c r="C69" s="270" t="s">
        <v>96</v>
      </c>
      <c r="D69" s="161">
        <v>143.37</v>
      </c>
      <c r="E69" s="162">
        <f t="shared" si="0"/>
        <v>209.60526315789474</v>
      </c>
      <c r="F69" s="161">
        <v>2.4</v>
      </c>
      <c r="G69" s="272" t="s">
        <v>979</v>
      </c>
      <c r="H69" s="1"/>
    </row>
    <row r="70" spans="2:8" ht="17.25" x14ac:dyDescent="0.25">
      <c r="B70" s="1"/>
      <c r="C70" s="270" t="s">
        <v>97</v>
      </c>
      <c r="D70" s="161">
        <v>143.37</v>
      </c>
      <c r="E70" s="162">
        <f t="shared" si="0"/>
        <v>209.60526315789474</v>
      </c>
      <c r="F70" s="161">
        <v>2.4</v>
      </c>
      <c r="G70" s="272" t="s">
        <v>979</v>
      </c>
      <c r="H70" s="1"/>
    </row>
    <row r="71" spans="2:8" ht="17.25" x14ac:dyDescent="0.25">
      <c r="B71" s="1"/>
      <c r="C71" s="270" t="s">
        <v>98</v>
      </c>
      <c r="D71" s="161">
        <v>143.37</v>
      </c>
      <c r="E71" s="162">
        <f t="shared" si="0"/>
        <v>209.60526315789474</v>
      </c>
      <c r="F71" s="161">
        <v>2.4</v>
      </c>
      <c r="G71" s="272" t="s">
        <v>979</v>
      </c>
      <c r="H71" s="1"/>
    </row>
    <row r="72" spans="2:8" ht="17.25" x14ac:dyDescent="0.25">
      <c r="B72" s="1"/>
      <c r="C72" s="270" t="s">
        <v>99</v>
      </c>
      <c r="D72" s="161">
        <v>143.37</v>
      </c>
      <c r="E72" s="162">
        <f t="shared" si="0"/>
        <v>209.60526315789474</v>
      </c>
      <c r="F72" s="161">
        <v>2.4</v>
      </c>
      <c r="G72" s="272" t="s">
        <v>979</v>
      </c>
      <c r="H72" s="1"/>
    </row>
    <row r="73" spans="2:8" ht="17.25" x14ac:dyDescent="0.25">
      <c r="B73" s="1"/>
      <c r="C73" s="270" t="s">
        <v>100</v>
      </c>
      <c r="D73" s="161">
        <v>143.37</v>
      </c>
      <c r="E73" s="162">
        <f t="shared" si="0"/>
        <v>209.60526315789474</v>
      </c>
      <c r="F73" s="161">
        <v>2.4</v>
      </c>
      <c r="G73" s="272" t="s">
        <v>979</v>
      </c>
      <c r="H73" s="1"/>
    </row>
    <row r="74" spans="2:8" ht="17.25" x14ac:dyDescent="0.25">
      <c r="B74" s="1"/>
      <c r="C74" s="270" t="s">
        <v>101</v>
      </c>
      <c r="D74" s="161">
        <v>147.22782345738864</v>
      </c>
      <c r="E74" s="162">
        <f t="shared" si="0"/>
        <v>215.2453559318547</v>
      </c>
      <c r="F74" s="161">
        <v>2.25</v>
      </c>
      <c r="G74" s="272" t="s">
        <v>979</v>
      </c>
      <c r="H74" s="1"/>
    </row>
    <row r="75" spans="2:8" ht="17.25" x14ac:dyDescent="0.25">
      <c r="B75" s="1"/>
      <c r="C75" s="270" t="s">
        <v>102</v>
      </c>
      <c r="D75" s="161">
        <v>143.37</v>
      </c>
      <c r="E75" s="162">
        <f t="shared" si="0"/>
        <v>209.60526315789474</v>
      </c>
      <c r="F75" s="161">
        <v>2.4</v>
      </c>
      <c r="G75" s="272" t="s">
        <v>979</v>
      </c>
      <c r="H75" s="1"/>
    </row>
    <row r="76" spans="2:8" ht="17.25" x14ac:dyDescent="0.25">
      <c r="B76" s="1"/>
      <c r="C76" s="270" t="s">
        <v>103</v>
      </c>
      <c r="D76" s="161">
        <v>147.22782345738864</v>
      </c>
      <c r="E76" s="162">
        <f t="shared" si="0"/>
        <v>215.2453559318547</v>
      </c>
      <c r="F76" s="161">
        <v>2.25</v>
      </c>
      <c r="G76" s="272" t="s">
        <v>979</v>
      </c>
      <c r="H76" s="1"/>
    </row>
    <row r="77" spans="2:8" ht="17.25" x14ac:dyDescent="0.25">
      <c r="B77" s="1"/>
      <c r="C77" s="270" t="s">
        <v>104</v>
      </c>
      <c r="D77" s="161">
        <v>147.22782345738864</v>
      </c>
      <c r="E77" s="162">
        <f t="shared" si="0"/>
        <v>215.2453559318547</v>
      </c>
      <c r="F77" s="161">
        <v>2.25</v>
      </c>
      <c r="G77" s="272" t="s">
        <v>979</v>
      </c>
      <c r="H77" s="1"/>
    </row>
    <row r="78" spans="2:8" ht="17.25" x14ac:dyDescent="0.25">
      <c r="B78" s="1"/>
      <c r="C78" s="270" t="s">
        <v>105</v>
      </c>
      <c r="D78" s="161">
        <v>147.22782345738864</v>
      </c>
      <c r="E78" s="162">
        <f t="shared" si="0"/>
        <v>215.2453559318547</v>
      </c>
      <c r="F78" s="161">
        <v>2.25</v>
      </c>
      <c r="G78" s="272" t="s">
        <v>979</v>
      </c>
      <c r="H78" s="1"/>
    </row>
    <row r="79" spans="2:8" ht="17.25" x14ac:dyDescent="0.25">
      <c r="B79" s="1"/>
      <c r="C79" s="270" t="s">
        <v>106</v>
      </c>
      <c r="D79" s="161">
        <v>147.4</v>
      </c>
      <c r="E79" s="162">
        <f t="shared" si="0"/>
        <v>215.4970760233918</v>
      </c>
      <c r="F79" s="161">
        <v>2.25</v>
      </c>
      <c r="G79" s="272" t="s">
        <v>979</v>
      </c>
      <c r="H79" s="1"/>
    </row>
    <row r="80" spans="2:8" ht="17.25" x14ac:dyDescent="0.25">
      <c r="B80" s="1"/>
      <c r="C80" s="270" t="s">
        <v>107</v>
      </c>
      <c r="D80" s="161">
        <v>143.38</v>
      </c>
      <c r="E80" s="162">
        <f t="shared" si="0"/>
        <v>209.61988304093566</v>
      </c>
      <c r="F80" s="161">
        <v>2.25</v>
      </c>
      <c r="G80" s="272" t="s">
        <v>979</v>
      </c>
      <c r="H80" s="1"/>
    </row>
    <row r="81" spans="2:8" ht="17.25" x14ac:dyDescent="0.25">
      <c r="B81" s="1"/>
      <c r="C81" s="270" t="s">
        <v>108</v>
      </c>
      <c r="D81" s="161">
        <v>147.4</v>
      </c>
      <c r="E81" s="162">
        <f t="shared" si="0"/>
        <v>215.4970760233918</v>
      </c>
      <c r="F81" s="161">
        <v>2.4</v>
      </c>
      <c r="G81" s="272" t="s">
        <v>979</v>
      </c>
      <c r="H81" s="1"/>
    </row>
    <row r="82" spans="2:8" ht="17.25" x14ac:dyDescent="0.25">
      <c r="B82" s="1"/>
      <c r="C82" s="270" t="s">
        <v>109</v>
      </c>
      <c r="D82" s="161">
        <v>147.22782345738864</v>
      </c>
      <c r="E82" s="162">
        <f t="shared" si="0"/>
        <v>215.2453559318547</v>
      </c>
      <c r="F82" s="161">
        <v>2.25</v>
      </c>
      <c r="G82" s="272" t="s">
        <v>979</v>
      </c>
      <c r="H82" s="1"/>
    </row>
    <row r="83" spans="2:8" ht="17.25" x14ac:dyDescent="0.25">
      <c r="B83" s="1"/>
      <c r="C83" s="270" t="s">
        <v>110</v>
      </c>
      <c r="D83" s="161">
        <v>147.4</v>
      </c>
      <c r="E83" s="162">
        <f t="shared" si="0"/>
        <v>215.4970760233918</v>
      </c>
      <c r="F83" s="161">
        <v>2.4</v>
      </c>
      <c r="G83" s="272" t="s">
        <v>979</v>
      </c>
      <c r="H83" s="1"/>
    </row>
    <row r="84" spans="2:8" ht="17.25" x14ac:dyDescent="0.25">
      <c r="B84" s="1"/>
      <c r="C84" s="270" t="s">
        <v>111</v>
      </c>
      <c r="D84" s="161"/>
      <c r="E84" s="162"/>
      <c r="F84" s="161">
        <v>2.25</v>
      </c>
      <c r="G84" s="272" t="s">
        <v>979</v>
      </c>
      <c r="H84" s="1"/>
    </row>
    <row r="85" spans="2:8" ht="17.25" x14ac:dyDescent="0.25">
      <c r="B85" s="1"/>
      <c r="C85" s="270" t="s">
        <v>112</v>
      </c>
      <c r="D85" s="161">
        <v>185.7</v>
      </c>
      <c r="E85" s="162">
        <f t="shared" ref="E85:E147" si="1">D85/0.684</f>
        <v>271.4912280701754</v>
      </c>
      <c r="F85" s="161">
        <v>2.4</v>
      </c>
      <c r="G85" s="272" t="s">
        <v>979</v>
      </c>
      <c r="H85" s="1"/>
    </row>
    <row r="86" spans="2:8" ht="17.25" x14ac:dyDescent="0.25">
      <c r="B86" s="1"/>
      <c r="C86" s="270" t="s">
        <v>113</v>
      </c>
      <c r="D86" s="161">
        <v>185.7</v>
      </c>
      <c r="E86" s="162">
        <f t="shared" si="1"/>
        <v>271.4912280701754</v>
      </c>
      <c r="F86" s="161">
        <v>2.4</v>
      </c>
      <c r="G86" s="272" t="s">
        <v>979</v>
      </c>
      <c r="H86" s="1"/>
    </row>
    <row r="87" spans="2:8" ht="17.25" x14ac:dyDescent="0.25">
      <c r="B87" s="1"/>
      <c r="C87" s="270" t="s">
        <v>114</v>
      </c>
      <c r="D87" s="161">
        <v>185.7</v>
      </c>
      <c r="E87" s="162">
        <f t="shared" si="1"/>
        <v>271.4912280701754</v>
      </c>
      <c r="F87" s="161">
        <v>2.4</v>
      </c>
      <c r="G87" s="272" t="s">
        <v>979</v>
      </c>
      <c r="H87" s="1"/>
    </row>
    <row r="88" spans="2:8" ht="17.25" x14ac:dyDescent="0.25">
      <c r="B88" s="1"/>
      <c r="C88" s="270" t="s">
        <v>115</v>
      </c>
      <c r="D88" s="161">
        <v>185.7</v>
      </c>
      <c r="E88" s="162">
        <f t="shared" si="1"/>
        <v>271.4912280701754</v>
      </c>
      <c r="F88" s="161">
        <v>2.4</v>
      </c>
      <c r="G88" s="272" t="s">
        <v>979</v>
      </c>
      <c r="H88" s="1"/>
    </row>
    <row r="89" spans="2:8" ht="17.25" x14ac:dyDescent="0.25">
      <c r="B89" s="1"/>
      <c r="C89" s="270" t="s">
        <v>116</v>
      </c>
      <c r="D89" s="161">
        <v>181.67957232446358</v>
      </c>
      <c r="E89" s="162">
        <f t="shared" si="1"/>
        <v>265.6134098310871</v>
      </c>
      <c r="F89" s="161">
        <v>2.4</v>
      </c>
      <c r="G89" s="272" t="s">
        <v>979</v>
      </c>
      <c r="H89" s="1"/>
    </row>
    <row r="90" spans="2:8" ht="17.25" x14ac:dyDescent="0.25">
      <c r="B90" s="1"/>
      <c r="C90" s="270" t="s">
        <v>117</v>
      </c>
      <c r="D90" s="161">
        <v>179.65299886169447</v>
      </c>
      <c r="E90" s="162">
        <f t="shared" si="1"/>
        <v>262.65058313113224</v>
      </c>
      <c r="F90" s="161">
        <v>2.35</v>
      </c>
      <c r="G90" s="272" t="s">
        <v>979</v>
      </c>
      <c r="H90" s="1"/>
    </row>
    <row r="91" spans="2:8" ht="17.25" x14ac:dyDescent="0.25">
      <c r="B91" s="1"/>
      <c r="C91" s="270" t="s">
        <v>118</v>
      </c>
      <c r="D91" s="161">
        <v>189.73665961010278</v>
      </c>
      <c r="E91" s="162">
        <f t="shared" si="1"/>
        <v>277.3927772077526</v>
      </c>
      <c r="F91" s="161">
        <v>2.4</v>
      </c>
      <c r="G91" s="272" t="s">
        <v>979</v>
      </c>
      <c r="H91" s="1"/>
    </row>
    <row r="92" spans="2:8" ht="17.25" x14ac:dyDescent="0.25">
      <c r="B92" s="1"/>
      <c r="C92" s="270" t="s">
        <v>119</v>
      </c>
      <c r="D92" s="161">
        <v>150.73523513469274</v>
      </c>
      <c r="E92" s="162">
        <f t="shared" si="1"/>
        <v>220.37315078171451</v>
      </c>
      <c r="F92" s="161">
        <v>2.25</v>
      </c>
      <c r="G92" s="272" t="s">
        <v>979</v>
      </c>
      <c r="H92" s="1"/>
    </row>
    <row r="93" spans="2:8" ht="17.25" x14ac:dyDescent="0.25">
      <c r="B93" s="1"/>
      <c r="C93" s="270" t="s">
        <v>120</v>
      </c>
      <c r="D93" s="161">
        <v>147.4</v>
      </c>
      <c r="E93" s="162">
        <f t="shared" si="1"/>
        <v>215.4970760233918</v>
      </c>
      <c r="F93" s="161">
        <v>2.4</v>
      </c>
      <c r="G93" s="272" t="s">
        <v>979</v>
      </c>
      <c r="H93" s="1"/>
    </row>
    <row r="94" spans="2:8" ht="17.25" x14ac:dyDescent="0.25">
      <c r="B94" s="1"/>
      <c r="C94" s="270" t="s">
        <v>121</v>
      </c>
      <c r="D94" s="161">
        <v>147.4</v>
      </c>
      <c r="E94" s="162">
        <f t="shared" si="1"/>
        <v>215.4970760233918</v>
      </c>
      <c r="F94" s="161">
        <v>2.4</v>
      </c>
      <c r="G94" s="272" t="s">
        <v>979</v>
      </c>
      <c r="H94" s="1"/>
    </row>
    <row r="95" spans="2:8" ht="17.25" x14ac:dyDescent="0.25">
      <c r="B95" s="1"/>
      <c r="C95" s="270" t="s">
        <v>122</v>
      </c>
      <c r="D95" s="161">
        <v>147.4</v>
      </c>
      <c r="E95" s="162">
        <f t="shared" si="1"/>
        <v>215.4970760233918</v>
      </c>
      <c r="F95" s="161">
        <v>2.4</v>
      </c>
      <c r="G95" s="272" t="s">
        <v>979</v>
      </c>
      <c r="H95" s="1"/>
    </row>
    <row r="96" spans="2:8" ht="17.25" x14ac:dyDescent="0.25">
      <c r="B96" s="1"/>
      <c r="C96" s="270" t="s">
        <v>123</v>
      </c>
      <c r="D96" s="161">
        <v>147.4</v>
      </c>
      <c r="E96" s="162">
        <f t="shared" si="1"/>
        <v>215.4970760233918</v>
      </c>
      <c r="F96" s="161">
        <v>2.4</v>
      </c>
      <c r="G96" s="272" t="s">
        <v>979</v>
      </c>
      <c r="H96" s="1"/>
    </row>
    <row r="97" spans="2:8" ht="17.25" x14ac:dyDescent="0.25">
      <c r="B97" s="1"/>
      <c r="C97" s="270" t="s">
        <v>124</v>
      </c>
      <c r="D97" s="161">
        <v>181.67957232446358</v>
      </c>
      <c r="E97" s="162">
        <f t="shared" si="1"/>
        <v>265.6134098310871</v>
      </c>
      <c r="F97" s="161">
        <v>2.4</v>
      </c>
      <c r="G97" s="272" t="s">
        <v>979</v>
      </c>
      <c r="H97" s="1"/>
    </row>
    <row r="98" spans="2:8" ht="17.25" x14ac:dyDescent="0.25">
      <c r="B98" s="1"/>
      <c r="C98" s="270" t="s">
        <v>125</v>
      </c>
      <c r="D98" s="161">
        <v>185.7</v>
      </c>
      <c r="E98" s="162">
        <f t="shared" si="1"/>
        <v>271.4912280701754</v>
      </c>
      <c r="F98" s="161">
        <v>2.4</v>
      </c>
      <c r="G98" s="272" t="s">
        <v>979</v>
      </c>
      <c r="H98" s="1"/>
    </row>
    <row r="99" spans="2:8" ht="17.25" x14ac:dyDescent="0.25">
      <c r="B99" s="1"/>
      <c r="C99" s="270" t="s">
        <v>126</v>
      </c>
      <c r="D99" s="161">
        <v>236.06842228472658</v>
      </c>
      <c r="E99" s="162">
        <f t="shared" si="1"/>
        <v>345.12927234609145</v>
      </c>
      <c r="F99" s="161">
        <v>2.4</v>
      </c>
      <c r="G99" s="272" t="s">
        <v>979</v>
      </c>
      <c r="H99" s="1"/>
    </row>
    <row r="100" spans="2:8" ht="17.25" x14ac:dyDescent="0.25">
      <c r="B100" s="1"/>
      <c r="C100" s="270" t="s">
        <v>127</v>
      </c>
      <c r="D100" s="161">
        <v>185.7</v>
      </c>
      <c r="E100" s="162">
        <f t="shared" si="1"/>
        <v>271.4912280701754</v>
      </c>
      <c r="F100" s="161">
        <v>2.4</v>
      </c>
      <c r="G100" s="272" t="s">
        <v>979</v>
      </c>
      <c r="H100" s="1"/>
    </row>
    <row r="101" spans="2:8" ht="17.25" x14ac:dyDescent="0.25">
      <c r="B101" s="1"/>
      <c r="C101" s="270" t="s">
        <v>128</v>
      </c>
      <c r="D101" s="161">
        <v>150</v>
      </c>
      <c r="E101" s="162">
        <f t="shared" si="1"/>
        <v>219.29824561403507</v>
      </c>
      <c r="F101" s="161">
        <v>16.149999999999999</v>
      </c>
      <c r="G101" s="272" t="s">
        <v>979</v>
      </c>
      <c r="H101" s="1"/>
    </row>
    <row r="102" spans="2:8" ht="17.25" x14ac:dyDescent="0.25">
      <c r="B102" s="1"/>
      <c r="C102" s="270" t="s">
        <v>129</v>
      </c>
      <c r="D102" s="161">
        <v>150.18552526791652</v>
      </c>
      <c r="E102" s="162">
        <f t="shared" si="1"/>
        <v>219.56948138584283</v>
      </c>
      <c r="F102" s="161">
        <v>16.149999999999999</v>
      </c>
      <c r="G102" s="272" t="s">
        <v>979</v>
      </c>
      <c r="H102" s="1"/>
    </row>
    <row r="103" spans="2:8" ht="17.25" x14ac:dyDescent="0.25">
      <c r="B103" s="1"/>
      <c r="C103" s="270" t="s">
        <v>130</v>
      </c>
      <c r="D103" s="161">
        <v>150.18552526791652</v>
      </c>
      <c r="E103" s="162">
        <f t="shared" si="1"/>
        <v>219.56948138584283</v>
      </c>
      <c r="F103" s="161">
        <v>16.149999999999999</v>
      </c>
      <c r="G103" s="272" t="s">
        <v>979</v>
      </c>
      <c r="H103" s="1"/>
    </row>
    <row r="104" spans="2:8" ht="17.25" x14ac:dyDescent="0.25">
      <c r="B104" s="1"/>
      <c r="C104" s="270" t="s">
        <v>131</v>
      </c>
      <c r="D104" s="161">
        <v>150.24029752366707</v>
      </c>
      <c r="E104" s="162">
        <f t="shared" si="1"/>
        <v>219.64955778313896</v>
      </c>
      <c r="F104" s="161">
        <v>16.149999999999999</v>
      </c>
      <c r="G104" s="272" t="s">
        <v>979</v>
      </c>
      <c r="H104" s="1"/>
    </row>
    <row r="105" spans="2:8" ht="17.25" x14ac:dyDescent="0.25">
      <c r="B105" s="1"/>
      <c r="C105" s="270" t="s">
        <v>132</v>
      </c>
      <c r="D105" s="161">
        <v>150.24029752366707</v>
      </c>
      <c r="E105" s="162">
        <f t="shared" si="1"/>
        <v>219.64955778313896</v>
      </c>
      <c r="F105" s="161">
        <v>16.149999999999999</v>
      </c>
      <c r="G105" s="272" t="s">
        <v>979</v>
      </c>
      <c r="H105" s="1"/>
    </row>
    <row r="106" spans="2:8" ht="17.25" x14ac:dyDescent="0.25">
      <c r="B106" s="1"/>
      <c r="C106" s="270" t="s">
        <v>133</v>
      </c>
      <c r="D106" s="161">
        <v>116.33627121409728</v>
      </c>
      <c r="E106" s="162">
        <f t="shared" si="1"/>
        <v>170.08226785686736</v>
      </c>
      <c r="F106" s="161">
        <v>16.149999999999999</v>
      </c>
      <c r="G106" s="272" t="s">
        <v>979</v>
      </c>
      <c r="H106" s="1"/>
    </row>
    <row r="107" spans="2:8" ht="17.25" x14ac:dyDescent="0.25">
      <c r="B107" s="1"/>
      <c r="C107" s="270" t="s">
        <v>134</v>
      </c>
      <c r="D107" s="161">
        <v>150.18552526791652</v>
      </c>
      <c r="E107" s="162">
        <f t="shared" si="1"/>
        <v>219.56948138584283</v>
      </c>
      <c r="F107" s="161">
        <v>16.149999999999999</v>
      </c>
      <c r="G107" s="272" t="s">
        <v>979</v>
      </c>
      <c r="H107" s="1"/>
    </row>
    <row r="108" spans="2:8" ht="17.25" x14ac:dyDescent="0.25">
      <c r="B108" s="1"/>
      <c r="C108" s="270" t="s">
        <v>135</v>
      </c>
      <c r="D108" s="161">
        <v>116.33627121409728</v>
      </c>
      <c r="E108" s="162">
        <f t="shared" si="1"/>
        <v>170.08226785686736</v>
      </c>
      <c r="F108" s="161">
        <v>16.149999999999999</v>
      </c>
      <c r="G108" s="272" t="s">
        <v>979</v>
      </c>
      <c r="H108" s="1"/>
    </row>
    <row r="109" spans="2:8" ht="17.25" x14ac:dyDescent="0.25">
      <c r="B109" s="1"/>
      <c r="C109" s="270" t="s">
        <v>136</v>
      </c>
      <c r="D109" s="161">
        <v>116.5</v>
      </c>
      <c r="E109" s="162">
        <f t="shared" si="1"/>
        <v>170.32163742690057</v>
      </c>
      <c r="F109" s="161">
        <v>16.149999999999999</v>
      </c>
      <c r="G109" s="272" t="s">
        <v>979</v>
      </c>
      <c r="H109" s="1"/>
    </row>
    <row r="110" spans="2:8" ht="17.25" x14ac:dyDescent="0.25">
      <c r="B110" s="1"/>
      <c r="C110" s="270" t="s">
        <v>137</v>
      </c>
      <c r="D110" s="161">
        <v>232.5</v>
      </c>
      <c r="E110" s="162">
        <f t="shared" si="1"/>
        <v>339.91228070175436</v>
      </c>
      <c r="F110" s="161">
        <v>2.4</v>
      </c>
      <c r="G110" s="272" t="s">
        <v>979</v>
      </c>
      <c r="H110" s="1"/>
    </row>
    <row r="111" spans="2:8" ht="17.25" x14ac:dyDescent="0.25">
      <c r="B111" s="1"/>
      <c r="C111" s="270" t="s">
        <v>138</v>
      </c>
      <c r="D111" s="161">
        <v>150</v>
      </c>
      <c r="E111" s="162">
        <f t="shared" si="1"/>
        <v>219.29824561403507</v>
      </c>
      <c r="F111" s="161">
        <v>16.149999999999999</v>
      </c>
      <c r="G111" s="272" t="s">
        <v>979</v>
      </c>
      <c r="H111" s="1"/>
    </row>
    <row r="112" spans="2:8" ht="17.25" x14ac:dyDescent="0.25">
      <c r="B112" s="1"/>
      <c r="C112" s="270" t="s">
        <v>139</v>
      </c>
      <c r="D112" s="161">
        <v>187.32111466676679</v>
      </c>
      <c r="E112" s="162">
        <f t="shared" si="1"/>
        <v>273.86127875258302</v>
      </c>
      <c r="F112" s="161">
        <v>16.149999999999999</v>
      </c>
      <c r="G112" s="272" t="s">
        <v>979</v>
      </c>
      <c r="H112" s="1"/>
    </row>
    <row r="113" spans="2:8" ht="17.25" x14ac:dyDescent="0.25">
      <c r="B113" s="1"/>
      <c r="C113" s="270" t="s">
        <v>140</v>
      </c>
      <c r="D113" s="161"/>
      <c r="E113" s="162"/>
      <c r="F113" s="161">
        <v>16.149999999999999</v>
      </c>
      <c r="G113" s="272" t="s">
        <v>979</v>
      </c>
      <c r="H113" s="1"/>
    </row>
    <row r="114" spans="2:8" ht="17.25" x14ac:dyDescent="0.25">
      <c r="B114" s="1"/>
      <c r="C114" s="270" t="s">
        <v>141</v>
      </c>
      <c r="D114" s="161">
        <v>150.18552526791652</v>
      </c>
      <c r="E114" s="162">
        <f t="shared" si="1"/>
        <v>219.56948138584283</v>
      </c>
      <c r="F114" s="161">
        <v>16.149999999999999</v>
      </c>
      <c r="G114" s="272" t="s">
        <v>979</v>
      </c>
      <c r="H114" s="1"/>
    </row>
    <row r="115" spans="2:8" ht="17.25" x14ac:dyDescent="0.25">
      <c r="B115" s="1"/>
      <c r="C115" s="270" t="s">
        <v>142</v>
      </c>
      <c r="D115" s="161">
        <v>228.61939550265632</v>
      </c>
      <c r="E115" s="162">
        <f t="shared" si="1"/>
        <v>334.238882313825</v>
      </c>
      <c r="F115" s="161">
        <v>15.55</v>
      </c>
      <c r="G115" s="272" t="s">
        <v>979</v>
      </c>
      <c r="H115" s="1"/>
    </row>
    <row r="116" spans="2:8" ht="17.25" x14ac:dyDescent="0.25">
      <c r="B116" s="1"/>
      <c r="C116" s="270" t="s">
        <v>143</v>
      </c>
      <c r="D116" s="161">
        <v>150.18552526791652</v>
      </c>
      <c r="E116" s="162">
        <f t="shared" si="1"/>
        <v>219.56948138584283</v>
      </c>
      <c r="F116" s="161">
        <v>16.149999999999999</v>
      </c>
      <c r="G116" s="272" t="s">
        <v>979</v>
      </c>
      <c r="H116" s="1"/>
    </row>
    <row r="117" spans="2:8" ht="17.25" x14ac:dyDescent="0.25">
      <c r="B117" s="1"/>
      <c r="C117" s="270" t="s">
        <v>144</v>
      </c>
      <c r="D117" s="161">
        <v>116.5</v>
      </c>
      <c r="E117" s="162">
        <f t="shared" si="1"/>
        <v>170.32163742690057</v>
      </c>
      <c r="F117" s="161">
        <v>16.149999999999999</v>
      </c>
      <c r="G117" s="272" t="s">
        <v>979</v>
      </c>
      <c r="H117" s="1"/>
    </row>
    <row r="118" spans="2:8" ht="17.25" x14ac:dyDescent="0.25">
      <c r="B118" s="1"/>
      <c r="C118" s="270" t="s">
        <v>145</v>
      </c>
      <c r="D118" s="161">
        <v>116.5</v>
      </c>
      <c r="E118" s="162">
        <f t="shared" si="1"/>
        <v>170.32163742690057</v>
      </c>
      <c r="F118" s="161">
        <v>16.149999999999999</v>
      </c>
      <c r="G118" s="272" t="s">
        <v>979</v>
      </c>
      <c r="H118" s="1"/>
    </row>
    <row r="119" spans="2:8" ht="17.25" x14ac:dyDescent="0.25">
      <c r="B119" s="1"/>
      <c r="C119" s="270" t="s">
        <v>146</v>
      </c>
      <c r="D119" s="161">
        <v>150</v>
      </c>
      <c r="E119" s="162">
        <f t="shared" si="1"/>
        <v>219.29824561403507</v>
      </c>
      <c r="F119" s="161">
        <v>16.149999999999999</v>
      </c>
      <c r="G119" s="272" t="s">
        <v>979</v>
      </c>
      <c r="H119" s="1"/>
    </row>
    <row r="120" spans="2:8" ht="17.25" x14ac:dyDescent="0.25">
      <c r="B120" s="1"/>
      <c r="C120" s="270" t="s">
        <v>147</v>
      </c>
      <c r="D120" s="161">
        <v>187.32111466676679</v>
      </c>
      <c r="E120" s="162">
        <f t="shared" si="1"/>
        <v>273.86127875258302</v>
      </c>
      <c r="F120" s="161">
        <v>16.149999999999999</v>
      </c>
      <c r="G120" s="272" t="s">
        <v>979</v>
      </c>
      <c r="H120" s="1"/>
    </row>
    <row r="121" spans="2:8" ht="17.25" x14ac:dyDescent="0.25">
      <c r="B121" s="1"/>
      <c r="C121" s="270" t="s">
        <v>148</v>
      </c>
      <c r="D121" s="161"/>
      <c r="E121" s="162"/>
      <c r="F121" s="161">
        <v>16.149999999999999</v>
      </c>
      <c r="G121" s="272" t="s">
        <v>979</v>
      </c>
      <c r="H121" s="1"/>
    </row>
    <row r="122" spans="2:8" ht="17.25" x14ac:dyDescent="0.25">
      <c r="B122" s="1"/>
      <c r="C122" s="270" t="s">
        <v>149</v>
      </c>
      <c r="D122" s="161"/>
      <c r="E122" s="162"/>
      <c r="F122" s="161">
        <v>16.149999999999999</v>
      </c>
      <c r="G122" s="272" t="s">
        <v>979</v>
      </c>
      <c r="H122" s="1"/>
    </row>
    <row r="123" spans="2:8" ht="17.25" x14ac:dyDescent="0.25">
      <c r="B123" s="1"/>
      <c r="C123" s="270" t="s">
        <v>150</v>
      </c>
      <c r="D123" s="161">
        <v>150.18552526791652</v>
      </c>
      <c r="E123" s="162">
        <f t="shared" si="1"/>
        <v>219.56948138584283</v>
      </c>
      <c r="F123" s="161">
        <v>16.149999999999999</v>
      </c>
      <c r="G123" s="272" t="s">
        <v>979</v>
      </c>
      <c r="H123" s="1"/>
    </row>
    <row r="124" spans="2:8" ht="17.25" x14ac:dyDescent="0.25">
      <c r="B124" s="1"/>
      <c r="C124" s="270" t="s">
        <v>151</v>
      </c>
      <c r="D124" s="161">
        <v>150.18552526791652</v>
      </c>
      <c r="E124" s="162">
        <f t="shared" si="1"/>
        <v>219.56948138584283</v>
      </c>
      <c r="F124" s="161">
        <v>16.149999999999999</v>
      </c>
      <c r="G124" s="272" t="s">
        <v>979</v>
      </c>
      <c r="H124" s="1"/>
    </row>
    <row r="125" spans="2:8" ht="17.25" x14ac:dyDescent="0.25">
      <c r="B125" s="1"/>
      <c r="C125" s="270" t="s">
        <v>152</v>
      </c>
      <c r="D125" s="161"/>
      <c r="E125" s="162"/>
      <c r="F125" s="161">
        <v>16.149999999999999</v>
      </c>
      <c r="G125" s="272" t="s">
        <v>979</v>
      </c>
      <c r="H125" s="1"/>
    </row>
    <row r="126" spans="2:8" ht="17.25" x14ac:dyDescent="0.25">
      <c r="B126" s="1"/>
      <c r="C126" s="270" t="s">
        <v>153</v>
      </c>
      <c r="D126" s="161">
        <v>107.5174404457249</v>
      </c>
      <c r="E126" s="162">
        <f t="shared" si="1"/>
        <v>157.18924041772644</v>
      </c>
      <c r="F126" s="161">
        <v>15.55</v>
      </c>
      <c r="G126" s="272" t="s">
        <v>979</v>
      </c>
      <c r="H126" s="1"/>
    </row>
    <row r="127" spans="2:8" ht="17.25" x14ac:dyDescent="0.25">
      <c r="B127" s="1"/>
      <c r="C127" s="270" t="s">
        <v>154</v>
      </c>
      <c r="D127" s="161">
        <v>144.32489390261125</v>
      </c>
      <c r="E127" s="162">
        <f t="shared" si="1"/>
        <v>211.00130687516264</v>
      </c>
      <c r="F127" s="161">
        <v>16.149999999999999</v>
      </c>
      <c r="G127" s="272" t="s">
        <v>979</v>
      </c>
      <c r="H127" s="1"/>
    </row>
    <row r="128" spans="2:8" ht="17.25" x14ac:dyDescent="0.25">
      <c r="B128" s="1"/>
      <c r="C128" s="270" t="s">
        <v>155</v>
      </c>
      <c r="D128" s="161">
        <v>116.5</v>
      </c>
      <c r="E128" s="162">
        <f t="shared" si="1"/>
        <v>170.32163742690057</v>
      </c>
      <c r="F128" s="161">
        <v>16.149999999999999</v>
      </c>
      <c r="G128" s="272" t="s">
        <v>979</v>
      </c>
      <c r="H128" s="1"/>
    </row>
    <row r="129" spans="2:8" ht="17.25" x14ac:dyDescent="0.25">
      <c r="B129" s="1"/>
      <c r="C129" s="270" t="s">
        <v>156</v>
      </c>
      <c r="D129" s="161">
        <v>171</v>
      </c>
      <c r="E129" s="162">
        <f t="shared" si="1"/>
        <v>249.99999999999997</v>
      </c>
      <c r="F129" s="161">
        <v>16.149999999999999</v>
      </c>
      <c r="G129" s="272" t="s">
        <v>979</v>
      </c>
      <c r="H129" s="1"/>
    </row>
    <row r="130" spans="2:8" ht="17.25" x14ac:dyDescent="0.25">
      <c r="B130" s="1"/>
      <c r="C130" s="270" t="s">
        <v>157</v>
      </c>
      <c r="D130" s="161">
        <v>116.5</v>
      </c>
      <c r="E130" s="162">
        <f t="shared" si="1"/>
        <v>170.32163742690057</v>
      </c>
      <c r="F130" s="161">
        <v>16.149999999999999</v>
      </c>
      <c r="G130" s="272" t="s">
        <v>979</v>
      </c>
      <c r="H130" s="1"/>
    </row>
    <row r="131" spans="2:8" ht="17.25" x14ac:dyDescent="0.25">
      <c r="B131" s="1"/>
      <c r="C131" s="270" t="s">
        <v>158</v>
      </c>
      <c r="D131" s="161">
        <v>150</v>
      </c>
      <c r="E131" s="162">
        <f t="shared" si="1"/>
        <v>219.29824561403507</v>
      </c>
      <c r="F131" s="161">
        <v>16.149999999999999</v>
      </c>
      <c r="G131" s="272" t="s">
        <v>979</v>
      </c>
      <c r="H131" s="1"/>
    </row>
    <row r="132" spans="2:8" ht="17.25" x14ac:dyDescent="0.25">
      <c r="B132" s="1"/>
      <c r="C132" s="270" t="s">
        <v>159</v>
      </c>
      <c r="D132" s="161">
        <v>150.18552526791652</v>
      </c>
      <c r="E132" s="162">
        <f t="shared" si="1"/>
        <v>219.56948138584283</v>
      </c>
      <c r="F132" s="161">
        <v>16.149999999999999</v>
      </c>
      <c r="G132" s="272" t="s">
        <v>979</v>
      </c>
      <c r="H132" s="1"/>
    </row>
    <row r="133" spans="2:8" ht="17.25" x14ac:dyDescent="0.25">
      <c r="B133" s="1"/>
      <c r="C133" s="270" t="s">
        <v>160</v>
      </c>
      <c r="D133" s="161">
        <v>116.5</v>
      </c>
      <c r="E133" s="162">
        <f t="shared" si="1"/>
        <v>170.32163742690057</v>
      </c>
      <c r="F133" s="161">
        <v>16.149999999999999</v>
      </c>
      <c r="G133" s="272" t="s">
        <v>979</v>
      </c>
      <c r="H133" s="1"/>
    </row>
    <row r="134" spans="2:8" ht="17.25" x14ac:dyDescent="0.25">
      <c r="B134" s="1"/>
      <c r="C134" s="270" t="s">
        <v>161</v>
      </c>
      <c r="D134" s="161">
        <v>150</v>
      </c>
      <c r="E134" s="162">
        <f t="shared" si="1"/>
        <v>219.29824561403507</v>
      </c>
      <c r="F134" s="161">
        <v>16.149999999999999</v>
      </c>
      <c r="G134" s="272" t="s">
        <v>979</v>
      </c>
      <c r="H134" s="1"/>
    </row>
    <row r="135" spans="2:8" ht="17.25" x14ac:dyDescent="0.25">
      <c r="B135" s="1"/>
      <c r="C135" s="270" t="s">
        <v>162</v>
      </c>
      <c r="D135" s="161">
        <v>171</v>
      </c>
      <c r="E135" s="162">
        <f t="shared" si="1"/>
        <v>249.99999999999997</v>
      </c>
      <c r="F135" s="161">
        <v>16.149999999999999</v>
      </c>
      <c r="G135" s="272" t="s">
        <v>979</v>
      </c>
      <c r="H135" s="1"/>
    </row>
    <row r="136" spans="2:8" ht="17.25" x14ac:dyDescent="0.25">
      <c r="B136" s="1"/>
      <c r="C136" s="270" t="s">
        <v>163</v>
      </c>
      <c r="D136" s="161">
        <v>187.32111466676679</v>
      </c>
      <c r="E136" s="162">
        <f t="shared" si="1"/>
        <v>273.86127875258302</v>
      </c>
      <c r="F136" s="161">
        <v>16.149999999999999</v>
      </c>
      <c r="G136" s="272" t="s">
        <v>979</v>
      </c>
      <c r="H136" s="1"/>
    </row>
    <row r="137" spans="2:8" ht="17.25" x14ac:dyDescent="0.25">
      <c r="B137" s="1"/>
      <c r="C137" s="270" t="s">
        <v>164</v>
      </c>
      <c r="D137" s="161">
        <v>187.32111466676679</v>
      </c>
      <c r="E137" s="162">
        <f t="shared" si="1"/>
        <v>273.86127875258302</v>
      </c>
      <c r="F137" s="161">
        <v>16.149999999999999</v>
      </c>
      <c r="G137" s="272" t="s">
        <v>979</v>
      </c>
      <c r="H137" s="1"/>
    </row>
    <row r="138" spans="2:8" ht="17.25" x14ac:dyDescent="0.25">
      <c r="B138" s="1"/>
      <c r="C138" s="270" t="s">
        <v>165</v>
      </c>
      <c r="D138" s="161">
        <v>182.9</v>
      </c>
      <c r="E138" s="162">
        <f t="shared" si="1"/>
        <v>267.39766081871346</v>
      </c>
      <c r="F138" s="161">
        <v>16.149999999999999</v>
      </c>
      <c r="G138" s="272" t="s">
        <v>979</v>
      </c>
      <c r="H138" s="1"/>
    </row>
    <row r="139" spans="2:8" ht="17.25" x14ac:dyDescent="0.25">
      <c r="B139" s="1"/>
      <c r="C139" s="270" t="s">
        <v>166</v>
      </c>
      <c r="D139" s="161">
        <v>150</v>
      </c>
      <c r="E139" s="162">
        <f t="shared" si="1"/>
        <v>219.29824561403507</v>
      </c>
      <c r="F139" s="161">
        <v>16.149999999999999</v>
      </c>
      <c r="G139" s="272" t="s">
        <v>979</v>
      </c>
      <c r="H139" s="1"/>
    </row>
    <row r="140" spans="2:8" ht="17.25" x14ac:dyDescent="0.25">
      <c r="B140" s="1"/>
      <c r="C140" s="270" t="s">
        <v>167</v>
      </c>
      <c r="D140" s="161">
        <v>149.84034588627708</v>
      </c>
      <c r="E140" s="162">
        <f t="shared" si="1"/>
        <v>219.06483316707173</v>
      </c>
      <c r="F140" s="161">
        <v>2.4</v>
      </c>
      <c r="G140" s="272" t="s">
        <v>981</v>
      </c>
      <c r="H140" s="1"/>
    </row>
    <row r="141" spans="2:8" ht="17.25" x14ac:dyDescent="0.25">
      <c r="B141" s="1"/>
      <c r="C141" s="270" t="s">
        <v>168</v>
      </c>
      <c r="D141" s="161">
        <v>149.84034588627708</v>
      </c>
      <c r="E141" s="162">
        <f t="shared" si="1"/>
        <v>219.06483316707173</v>
      </c>
      <c r="F141" s="161">
        <v>2.4</v>
      </c>
      <c r="G141" s="272" t="s">
        <v>981</v>
      </c>
      <c r="H141" s="1"/>
    </row>
    <row r="142" spans="2:8" ht="17.25" x14ac:dyDescent="0.25">
      <c r="B142" s="1"/>
      <c r="C142" s="270" t="s">
        <v>169</v>
      </c>
      <c r="D142" s="161">
        <v>149.84034588627708</v>
      </c>
      <c r="E142" s="162">
        <f t="shared" si="1"/>
        <v>219.06483316707173</v>
      </c>
      <c r="F142" s="161">
        <v>2.4</v>
      </c>
      <c r="G142" s="272" t="s">
        <v>981</v>
      </c>
      <c r="H142" s="1"/>
    </row>
    <row r="143" spans="2:8" ht="17.25" x14ac:dyDescent="0.25">
      <c r="B143" s="1"/>
      <c r="C143" s="270" t="s">
        <v>170</v>
      </c>
      <c r="D143" s="161">
        <v>379.55026990239213</v>
      </c>
      <c r="E143" s="162">
        <f t="shared" si="1"/>
        <v>554.89805541285398</v>
      </c>
      <c r="F143" s="161">
        <v>2.4</v>
      </c>
      <c r="G143" s="272" t="s">
        <v>981</v>
      </c>
      <c r="H143" s="1"/>
    </row>
    <row r="144" spans="2:8" ht="17.25" x14ac:dyDescent="0.25">
      <c r="B144" s="1"/>
      <c r="C144" s="270" t="s">
        <v>171</v>
      </c>
      <c r="D144" s="161">
        <v>149.84034588627708</v>
      </c>
      <c r="E144" s="162">
        <f t="shared" si="1"/>
        <v>219.06483316707173</v>
      </c>
      <c r="F144" s="161">
        <v>2.4</v>
      </c>
      <c r="G144" s="272" t="s">
        <v>981</v>
      </c>
      <c r="H144" s="1"/>
    </row>
    <row r="145" spans="2:8" ht="17.25" x14ac:dyDescent="0.25">
      <c r="B145" s="1"/>
      <c r="C145" s="270" t="s">
        <v>172</v>
      </c>
      <c r="D145" s="161">
        <v>149.84034588627708</v>
      </c>
      <c r="E145" s="162">
        <f t="shared" si="1"/>
        <v>219.06483316707173</v>
      </c>
      <c r="F145" s="161">
        <v>2.4</v>
      </c>
      <c r="G145" s="272" t="s">
        <v>981</v>
      </c>
      <c r="H145" s="1"/>
    </row>
    <row r="146" spans="2:8" ht="17.25" x14ac:dyDescent="0.25">
      <c r="B146" s="1"/>
      <c r="C146" s="270" t="s">
        <v>173</v>
      </c>
      <c r="D146" s="161">
        <v>149.84034588627708</v>
      </c>
      <c r="E146" s="162">
        <f t="shared" si="1"/>
        <v>219.06483316707173</v>
      </c>
      <c r="F146" s="161">
        <v>2.4</v>
      </c>
      <c r="G146" s="272" t="s">
        <v>981</v>
      </c>
      <c r="H146" s="1"/>
    </row>
    <row r="147" spans="2:8" ht="17.25" x14ac:dyDescent="0.25">
      <c r="B147" s="1"/>
      <c r="C147" s="270" t="s">
        <v>174</v>
      </c>
      <c r="D147" s="161">
        <v>149.84034588627708</v>
      </c>
      <c r="E147" s="162">
        <f t="shared" si="1"/>
        <v>219.06483316707173</v>
      </c>
      <c r="F147" s="161">
        <v>2.4</v>
      </c>
      <c r="G147" s="272" t="s">
        <v>981</v>
      </c>
      <c r="H147" s="1"/>
    </row>
    <row r="148" spans="2:8" ht="17.25" x14ac:dyDescent="0.25">
      <c r="B148" s="1"/>
      <c r="C148" s="270" t="s">
        <v>175</v>
      </c>
      <c r="D148" s="161"/>
      <c r="E148" s="162"/>
      <c r="F148" s="161">
        <v>2.4</v>
      </c>
      <c r="G148" s="272" t="s">
        <v>981</v>
      </c>
      <c r="H148" s="1"/>
    </row>
    <row r="149" spans="2:8" ht="17.25" x14ac:dyDescent="0.25">
      <c r="B149" s="1"/>
      <c r="C149" s="270" t="s">
        <v>176</v>
      </c>
      <c r="D149" s="161">
        <v>149.84034588627708</v>
      </c>
      <c r="E149" s="162">
        <f t="shared" ref="E149:E211" si="2">D149/0.684</f>
        <v>219.06483316707173</v>
      </c>
      <c r="F149" s="161">
        <v>2.4</v>
      </c>
      <c r="G149" s="272" t="s">
        <v>981</v>
      </c>
      <c r="H149" s="1"/>
    </row>
    <row r="150" spans="2:8" ht="17.25" x14ac:dyDescent="0.25">
      <c r="B150" s="1"/>
      <c r="C150" s="270" t="s">
        <v>177</v>
      </c>
      <c r="D150" s="161">
        <v>149.84034588627708</v>
      </c>
      <c r="E150" s="162">
        <f t="shared" si="2"/>
        <v>219.06483316707173</v>
      </c>
      <c r="F150" s="161">
        <v>2.4</v>
      </c>
      <c r="G150" s="272" t="s">
        <v>981</v>
      </c>
      <c r="H150" s="1"/>
    </row>
    <row r="151" spans="2:8" ht="17.25" x14ac:dyDescent="0.25">
      <c r="B151" s="1"/>
      <c r="C151" s="270" t="s">
        <v>178</v>
      </c>
      <c r="D151" s="161">
        <v>149.84034588627708</v>
      </c>
      <c r="E151" s="162">
        <f t="shared" si="2"/>
        <v>219.06483316707173</v>
      </c>
      <c r="F151" s="161">
        <v>2.4</v>
      </c>
      <c r="G151" s="272" t="s">
        <v>981</v>
      </c>
      <c r="H151" s="1"/>
    </row>
    <row r="152" spans="2:8" ht="17.25" x14ac:dyDescent="0.25">
      <c r="B152" s="1"/>
      <c r="C152" s="270" t="s">
        <v>179</v>
      </c>
      <c r="D152" s="161">
        <v>149.84034588627708</v>
      </c>
      <c r="E152" s="162">
        <f t="shared" si="2"/>
        <v>219.06483316707173</v>
      </c>
      <c r="F152" s="161">
        <v>2.4</v>
      </c>
      <c r="G152" s="272" t="s">
        <v>981</v>
      </c>
      <c r="H152" s="1"/>
    </row>
    <row r="153" spans="2:8" ht="17.25" x14ac:dyDescent="0.25">
      <c r="B153" s="1"/>
      <c r="C153" s="270" t="s">
        <v>180</v>
      </c>
      <c r="D153" s="161">
        <v>149.84034588627708</v>
      </c>
      <c r="E153" s="162">
        <f t="shared" si="2"/>
        <v>219.06483316707173</v>
      </c>
      <c r="F153" s="161">
        <v>2.4</v>
      </c>
      <c r="G153" s="272" t="s">
        <v>981</v>
      </c>
      <c r="H153" s="1"/>
    </row>
    <row r="154" spans="2:8" ht="17.25" x14ac:dyDescent="0.25">
      <c r="B154" s="1"/>
      <c r="C154" s="270" t="s">
        <v>181</v>
      </c>
      <c r="D154" s="161">
        <v>149.84034588627708</v>
      </c>
      <c r="E154" s="162">
        <f t="shared" si="2"/>
        <v>219.06483316707173</v>
      </c>
      <c r="F154" s="161">
        <v>2.4</v>
      </c>
      <c r="G154" s="272" t="s">
        <v>981</v>
      </c>
      <c r="H154" s="1"/>
    </row>
    <row r="155" spans="2:8" ht="17.25" x14ac:dyDescent="0.25">
      <c r="B155" s="1"/>
      <c r="C155" s="270" t="s">
        <v>182</v>
      </c>
      <c r="D155" s="161">
        <v>149.84034588627708</v>
      </c>
      <c r="E155" s="162">
        <f t="shared" si="2"/>
        <v>219.06483316707173</v>
      </c>
      <c r="F155" s="161">
        <v>2.4</v>
      </c>
      <c r="G155" s="272" t="s">
        <v>981</v>
      </c>
      <c r="H155" s="1"/>
    </row>
    <row r="156" spans="2:8" ht="17.25" x14ac:dyDescent="0.25">
      <c r="B156" s="1"/>
      <c r="C156" s="270" t="s">
        <v>183</v>
      </c>
      <c r="D156" s="161">
        <v>149.84034588627708</v>
      </c>
      <c r="E156" s="162">
        <f t="shared" si="2"/>
        <v>219.06483316707173</v>
      </c>
      <c r="F156" s="161">
        <v>2.4</v>
      </c>
      <c r="G156" s="272" t="s">
        <v>981</v>
      </c>
      <c r="H156" s="1"/>
    </row>
    <row r="157" spans="2:8" ht="17.25" x14ac:dyDescent="0.25">
      <c r="B157" s="1"/>
      <c r="C157" s="270" t="s">
        <v>184</v>
      </c>
      <c r="D157" s="161">
        <v>149.84034588627708</v>
      </c>
      <c r="E157" s="162">
        <f t="shared" si="2"/>
        <v>219.06483316707173</v>
      </c>
      <c r="F157" s="161">
        <v>2.4</v>
      </c>
      <c r="G157" s="272" t="s">
        <v>981</v>
      </c>
      <c r="H157" s="1"/>
    </row>
    <row r="158" spans="2:8" ht="17.25" x14ac:dyDescent="0.25">
      <c r="B158" s="1"/>
      <c r="C158" s="270" t="s">
        <v>185</v>
      </c>
      <c r="D158" s="161">
        <v>149.84034588627708</v>
      </c>
      <c r="E158" s="162">
        <f t="shared" si="2"/>
        <v>219.06483316707173</v>
      </c>
      <c r="F158" s="161">
        <v>2.4</v>
      </c>
      <c r="G158" s="272" t="s">
        <v>981</v>
      </c>
      <c r="H158" s="1"/>
    </row>
    <row r="159" spans="2:8" ht="17.25" x14ac:dyDescent="0.25">
      <c r="B159" s="1"/>
      <c r="C159" s="270" t="s">
        <v>186</v>
      </c>
      <c r="D159" s="161">
        <v>149.84034588627708</v>
      </c>
      <c r="E159" s="162">
        <f t="shared" si="2"/>
        <v>219.06483316707173</v>
      </c>
      <c r="F159" s="161">
        <v>2.4</v>
      </c>
      <c r="G159" s="272" t="s">
        <v>981</v>
      </c>
      <c r="H159" s="1"/>
    </row>
    <row r="160" spans="2:8" ht="17.25" x14ac:dyDescent="0.25">
      <c r="B160" s="1"/>
      <c r="C160" s="270" t="s">
        <v>187</v>
      </c>
      <c r="D160" s="161">
        <v>149.84034588627708</v>
      </c>
      <c r="E160" s="162">
        <f t="shared" si="2"/>
        <v>219.06483316707173</v>
      </c>
      <c r="F160" s="161">
        <v>2.4</v>
      </c>
      <c r="G160" s="272" t="s">
        <v>981</v>
      </c>
      <c r="H160" s="1"/>
    </row>
    <row r="161" spans="2:8" ht="17.25" x14ac:dyDescent="0.25">
      <c r="B161" s="1"/>
      <c r="C161" s="270" t="s">
        <v>188</v>
      </c>
      <c r="D161" s="161">
        <v>479.80496037452548</v>
      </c>
      <c r="E161" s="162">
        <f t="shared" si="2"/>
        <v>701.46924031363369</v>
      </c>
      <c r="F161" s="161">
        <v>0.7</v>
      </c>
      <c r="G161" s="272" t="s">
        <v>979</v>
      </c>
      <c r="H161" s="1"/>
    </row>
    <row r="162" spans="2:8" ht="17.25" x14ac:dyDescent="0.25">
      <c r="B162" s="1"/>
      <c r="C162" s="270" t="s">
        <v>189</v>
      </c>
      <c r="D162" s="161">
        <v>186.5898964941141</v>
      </c>
      <c r="E162" s="162">
        <f t="shared" si="2"/>
        <v>272.79224633642411</v>
      </c>
      <c r="F162" s="161">
        <v>2.4</v>
      </c>
      <c r="G162" s="272" t="s">
        <v>979</v>
      </c>
      <c r="H162" s="1"/>
    </row>
    <row r="163" spans="2:8" ht="17.25" x14ac:dyDescent="0.25">
      <c r="B163" s="1"/>
      <c r="C163" s="270" t="s">
        <v>190</v>
      </c>
      <c r="D163" s="161">
        <v>107.11108776639325</v>
      </c>
      <c r="E163" s="162">
        <f t="shared" si="2"/>
        <v>156.59515755320649</v>
      </c>
      <c r="F163" s="161">
        <v>2.25</v>
      </c>
      <c r="G163" s="272" t="s">
        <v>979</v>
      </c>
      <c r="H163" s="1"/>
    </row>
    <row r="164" spans="2:8" ht="17.25" x14ac:dyDescent="0.25">
      <c r="B164" s="1"/>
      <c r="C164" s="270" t="s">
        <v>191</v>
      </c>
      <c r="D164" s="161">
        <v>107.11108776639325</v>
      </c>
      <c r="E164" s="162">
        <f t="shared" si="2"/>
        <v>156.59515755320649</v>
      </c>
      <c r="F164" s="161">
        <v>2.25</v>
      </c>
      <c r="G164" s="272" t="s">
        <v>979</v>
      </c>
      <c r="H164" s="1"/>
    </row>
    <row r="165" spans="2:8" ht="17.25" x14ac:dyDescent="0.25">
      <c r="B165" s="1"/>
      <c r="C165" s="270" t="s">
        <v>192</v>
      </c>
      <c r="D165" s="161">
        <v>237</v>
      </c>
      <c r="E165" s="162">
        <f t="shared" si="2"/>
        <v>346.4912280701754</v>
      </c>
      <c r="F165" s="161">
        <v>2.4</v>
      </c>
      <c r="G165" s="272" t="s">
        <v>979</v>
      </c>
      <c r="H165" s="1"/>
    </row>
    <row r="166" spans="2:8" ht="17.25" x14ac:dyDescent="0.25">
      <c r="B166" s="1"/>
      <c r="C166" s="270" t="s">
        <v>193</v>
      </c>
      <c r="D166" s="161">
        <v>238.65</v>
      </c>
      <c r="E166" s="162">
        <f t="shared" si="2"/>
        <v>348.90350877192981</v>
      </c>
      <c r="F166" s="161">
        <v>2.4</v>
      </c>
      <c r="G166" s="272" t="s">
        <v>979</v>
      </c>
      <c r="H166" s="1"/>
    </row>
    <row r="167" spans="2:8" ht="17.25" x14ac:dyDescent="0.25">
      <c r="B167" s="1"/>
      <c r="C167" s="270" t="s">
        <v>194</v>
      </c>
      <c r="D167" s="161">
        <v>186.5898964941141</v>
      </c>
      <c r="E167" s="162">
        <f t="shared" si="2"/>
        <v>272.79224633642411</v>
      </c>
      <c r="F167" s="161">
        <v>2.4</v>
      </c>
      <c r="G167" s="272" t="s">
        <v>979</v>
      </c>
      <c r="H167" s="1"/>
    </row>
    <row r="168" spans="2:8" ht="17.25" x14ac:dyDescent="0.25">
      <c r="B168" s="1"/>
      <c r="C168" s="270" t="s">
        <v>195</v>
      </c>
      <c r="D168" s="161">
        <v>203.20528251525664</v>
      </c>
      <c r="E168" s="162">
        <f t="shared" si="2"/>
        <v>297.08374636733424</v>
      </c>
      <c r="F168" s="161">
        <v>2.4</v>
      </c>
      <c r="G168" s="272" t="s">
        <v>979</v>
      </c>
      <c r="H168" s="1"/>
    </row>
    <row r="169" spans="2:8" ht="17.25" x14ac:dyDescent="0.25">
      <c r="B169" s="1"/>
      <c r="C169" s="270" t="s">
        <v>196</v>
      </c>
      <c r="D169" s="161">
        <v>186.5898964941141</v>
      </c>
      <c r="E169" s="162">
        <f t="shared" si="2"/>
        <v>272.79224633642411</v>
      </c>
      <c r="F169" s="161">
        <v>2.4</v>
      </c>
      <c r="G169" s="272" t="s">
        <v>979</v>
      </c>
      <c r="H169" s="1"/>
    </row>
    <row r="170" spans="2:8" ht="17.25" x14ac:dyDescent="0.25">
      <c r="B170" s="1"/>
      <c r="C170" s="270" t="s">
        <v>197</v>
      </c>
      <c r="D170" s="161">
        <v>479.80496037452548</v>
      </c>
      <c r="E170" s="162">
        <f t="shared" si="2"/>
        <v>701.46924031363369</v>
      </c>
      <c r="F170" s="161">
        <v>0.7</v>
      </c>
      <c r="G170" s="272" t="s">
        <v>979</v>
      </c>
      <c r="H170" s="1"/>
    </row>
    <row r="171" spans="2:8" ht="17.25" x14ac:dyDescent="0.25">
      <c r="B171" s="1"/>
      <c r="C171" s="270" t="s">
        <v>198</v>
      </c>
      <c r="D171" s="161">
        <v>186.5898964941141</v>
      </c>
      <c r="E171" s="162">
        <f t="shared" si="2"/>
        <v>272.79224633642411</v>
      </c>
      <c r="F171" s="161">
        <v>2.4</v>
      </c>
      <c r="G171" s="272" t="s">
        <v>979</v>
      </c>
      <c r="H171" s="1"/>
    </row>
    <row r="172" spans="2:8" ht="17.25" x14ac:dyDescent="0.25">
      <c r="B172" s="1"/>
      <c r="C172" s="270" t="s">
        <v>199</v>
      </c>
      <c r="D172" s="161">
        <v>186.5898964941141</v>
      </c>
      <c r="E172" s="162">
        <f t="shared" si="2"/>
        <v>272.79224633642411</v>
      </c>
      <c r="F172" s="161">
        <v>2.4</v>
      </c>
      <c r="G172" s="272" t="s">
        <v>979</v>
      </c>
      <c r="H172" s="1"/>
    </row>
    <row r="173" spans="2:8" ht="17.25" x14ac:dyDescent="0.25">
      <c r="B173" s="1"/>
      <c r="C173" s="270" t="s">
        <v>200</v>
      </c>
      <c r="D173" s="161">
        <v>129.90210889256895</v>
      </c>
      <c r="E173" s="162">
        <f t="shared" si="2"/>
        <v>189.91536387802475</v>
      </c>
      <c r="F173" s="161">
        <v>2.4</v>
      </c>
      <c r="G173" s="272" t="s">
        <v>979</v>
      </c>
      <c r="H173" s="1"/>
    </row>
    <row r="174" spans="2:8" ht="17.25" x14ac:dyDescent="0.25">
      <c r="B174" s="1"/>
      <c r="C174" s="270" t="s">
        <v>201</v>
      </c>
      <c r="D174" s="161">
        <v>129.90210889256895</v>
      </c>
      <c r="E174" s="162">
        <f t="shared" si="2"/>
        <v>189.91536387802475</v>
      </c>
      <c r="F174" s="161">
        <v>2.4</v>
      </c>
      <c r="G174" s="272" t="s">
        <v>979</v>
      </c>
      <c r="H174" s="1"/>
    </row>
    <row r="175" spans="2:8" ht="17.25" x14ac:dyDescent="0.25">
      <c r="B175" s="1"/>
      <c r="C175" s="270" t="s">
        <v>202</v>
      </c>
      <c r="D175" s="161">
        <v>179.65941462433273</v>
      </c>
      <c r="E175" s="162">
        <f t="shared" si="2"/>
        <v>262.6599629010712</v>
      </c>
      <c r="F175" s="161">
        <v>2.4</v>
      </c>
      <c r="G175" s="272" t="s">
        <v>979</v>
      </c>
      <c r="H175" s="1"/>
    </row>
    <row r="176" spans="2:8" ht="17.25" x14ac:dyDescent="0.25">
      <c r="B176" s="1"/>
      <c r="C176" s="270" t="s">
        <v>203</v>
      </c>
      <c r="D176" s="161">
        <v>179.65941462433273</v>
      </c>
      <c r="E176" s="162">
        <f t="shared" si="2"/>
        <v>262.6599629010712</v>
      </c>
      <c r="F176" s="161">
        <v>2.4</v>
      </c>
      <c r="G176" s="272" t="s">
        <v>979</v>
      </c>
      <c r="H176" s="1"/>
    </row>
    <row r="177" spans="2:8" ht="17.25" x14ac:dyDescent="0.25">
      <c r="B177" s="1"/>
      <c r="C177" s="270" t="s">
        <v>204</v>
      </c>
      <c r="D177" s="161">
        <v>129.90210889256895</v>
      </c>
      <c r="E177" s="162">
        <f t="shared" si="2"/>
        <v>189.91536387802475</v>
      </c>
      <c r="F177" s="161">
        <v>2.4</v>
      </c>
      <c r="G177" s="272" t="s">
        <v>979</v>
      </c>
      <c r="H177" s="1"/>
    </row>
    <row r="178" spans="2:8" ht="17.25" x14ac:dyDescent="0.25">
      <c r="B178" s="1"/>
      <c r="C178" s="270" t="s">
        <v>205</v>
      </c>
      <c r="D178" s="161">
        <v>129.90210889256895</v>
      </c>
      <c r="E178" s="162">
        <f t="shared" si="2"/>
        <v>189.91536387802475</v>
      </c>
      <c r="F178" s="161">
        <v>2.4</v>
      </c>
      <c r="G178" s="272" t="s">
        <v>979</v>
      </c>
      <c r="H178" s="1"/>
    </row>
    <row r="179" spans="2:8" ht="17.25" x14ac:dyDescent="0.25">
      <c r="B179" s="1"/>
      <c r="C179" s="270" t="s">
        <v>206</v>
      </c>
      <c r="D179" s="161">
        <v>354.59568086766092</v>
      </c>
      <c r="E179" s="162">
        <f t="shared" si="2"/>
        <v>518.4147381106153</v>
      </c>
      <c r="F179" s="161">
        <v>2.25</v>
      </c>
      <c r="G179" s="272" t="s">
        <v>982</v>
      </c>
      <c r="H179" s="1"/>
    </row>
    <row r="180" spans="2:8" ht="17.25" x14ac:dyDescent="0.25">
      <c r="B180" s="1"/>
      <c r="C180" s="270" t="s">
        <v>207</v>
      </c>
      <c r="D180" s="161">
        <v>354.59568086766092</v>
      </c>
      <c r="E180" s="162">
        <f t="shared" si="2"/>
        <v>518.4147381106153</v>
      </c>
      <c r="F180" s="161">
        <v>2.25</v>
      </c>
      <c r="G180" s="272" t="s">
        <v>982</v>
      </c>
      <c r="H180" s="1"/>
    </row>
    <row r="181" spans="2:8" ht="17.25" x14ac:dyDescent="0.25">
      <c r="B181" s="1"/>
      <c r="C181" s="270" t="s">
        <v>208</v>
      </c>
      <c r="D181" s="161">
        <v>277.08509313927374</v>
      </c>
      <c r="E181" s="162">
        <f t="shared" si="2"/>
        <v>405.09516540829492</v>
      </c>
      <c r="F181" s="161">
        <v>2.35</v>
      </c>
      <c r="G181" s="272" t="s">
        <v>982</v>
      </c>
      <c r="H181" s="1"/>
    </row>
    <row r="182" spans="2:8" ht="17.25" x14ac:dyDescent="0.25">
      <c r="B182" s="1"/>
      <c r="C182" s="270" t="s">
        <v>209</v>
      </c>
      <c r="D182" s="161">
        <v>402.8109283522482</v>
      </c>
      <c r="E182" s="162">
        <f t="shared" si="2"/>
        <v>588.90486601205873</v>
      </c>
      <c r="F182" s="161">
        <v>2.25</v>
      </c>
      <c r="G182" s="272" t="s">
        <v>982</v>
      </c>
      <c r="H182" s="1"/>
    </row>
    <row r="183" spans="2:8" ht="17.25" x14ac:dyDescent="0.25">
      <c r="B183" s="1"/>
      <c r="C183" s="270" t="s">
        <v>210</v>
      </c>
      <c r="D183" s="161"/>
      <c r="E183" s="162"/>
      <c r="F183" s="161">
        <v>12</v>
      </c>
      <c r="G183" s="272" t="s">
        <v>983</v>
      </c>
      <c r="H183" s="1"/>
    </row>
    <row r="184" spans="2:8" ht="17.25" x14ac:dyDescent="0.25">
      <c r="B184" s="1"/>
      <c r="C184" s="270" t="s">
        <v>211</v>
      </c>
      <c r="D184" s="161"/>
      <c r="E184" s="162"/>
      <c r="F184" s="161">
        <v>12</v>
      </c>
      <c r="G184" s="272" t="s">
        <v>983</v>
      </c>
      <c r="H184" s="1"/>
    </row>
    <row r="185" spans="2:8" ht="17.25" x14ac:dyDescent="0.25">
      <c r="B185" s="1"/>
      <c r="C185" s="270" t="s">
        <v>212</v>
      </c>
      <c r="D185" s="161">
        <v>153.80000000000001</v>
      </c>
      <c r="E185" s="162">
        <f t="shared" si="2"/>
        <v>224.85380116959064</v>
      </c>
      <c r="F185" s="161">
        <v>15.9</v>
      </c>
      <c r="G185" s="272" t="s">
        <v>983</v>
      </c>
      <c r="H185" s="1"/>
    </row>
    <row r="186" spans="2:8" ht="17.25" x14ac:dyDescent="0.25">
      <c r="B186" s="1"/>
      <c r="C186" s="270" t="s">
        <v>213</v>
      </c>
      <c r="D186" s="161">
        <v>120</v>
      </c>
      <c r="E186" s="162">
        <f t="shared" si="2"/>
        <v>175.43859649122805</v>
      </c>
      <c r="F186" s="161">
        <v>15.9</v>
      </c>
      <c r="G186" s="272" t="s">
        <v>983</v>
      </c>
      <c r="H186" s="1"/>
    </row>
    <row r="187" spans="2:8" ht="17.25" x14ac:dyDescent="0.25">
      <c r="B187" s="1"/>
      <c r="C187" s="270" t="s">
        <v>214</v>
      </c>
      <c r="D187" s="161">
        <v>120.35661297043168</v>
      </c>
      <c r="E187" s="162">
        <f t="shared" si="2"/>
        <v>175.95996048308723</v>
      </c>
      <c r="F187" s="161">
        <v>15.9</v>
      </c>
      <c r="G187" s="272" t="s">
        <v>983</v>
      </c>
      <c r="H187" s="1"/>
    </row>
    <row r="188" spans="2:8" ht="17.25" x14ac:dyDescent="0.25">
      <c r="B188" s="1"/>
      <c r="C188" s="270" t="s">
        <v>215</v>
      </c>
      <c r="D188" s="161">
        <v>117.5196472935483</v>
      </c>
      <c r="E188" s="162">
        <f t="shared" si="2"/>
        <v>171.81234984436884</v>
      </c>
      <c r="F188" s="161">
        <v>15.9</v>
      </c>
      <c r="G188" s="272" t="s">
        <v>983</v>
      </c>
      <c r="H188" s="1"/>
    </row>
    <row r="189" spans="2:8" ht="17.25" x14ac:dyDescent="0.25">
      <c r="B189" s="1"/>
      <c r="C189" s="270" t="s">
        <v>216</v>
      </c>
      <c r="D189" s="161">
        <v>117.5196472935483</v>
      </c>
      <c r="E189" s="162">
        <f t="shared" si="2"/>
        <v>171.81234984436884</v>
      </c>
      <c r="F189" s="161">
        <v>15.9</v>
      </c>
      <c r="G189" s="272" t="s">
        <v>983</v>
      </c>
      <c r="H189" s="1"/>
    </row>
    <row r="190" spans="2:8" ht="17.25" x14ac:dyDescent="0.25">
      <c r="B190" s="1"/>
      <c r="C190" s="270" t="s">
        <v>217</v>
      </c>
      <c r="D190" s="161">
        <v>205</v>
      </c>
      <c r="E190" s="162">
        <f t="shared" si="2"/>
        <v>299.70760233918128</v>
      </c>
      <c r="F190" s="161">
        <v>15.9</v>
      </c>
      <c r="G190" s="272" t="s">
        <v>983</v>
      </c>
      <c r="H190" s="1"/>
    </row>
    <row r="191" spans="2:8" ht="17.25" x14ac:dyDescent="0.25">
      <c r="B191" s="1"/>
      <c r="C191" s="270" t="s">
        <v>218</v>
      </c>
      <c r="D191" s="161">
        <v>155.22502341677014</v>
      </c>
      <c r="E191" s="162">
        <f t="shared" si="2"/>
        <v>226.93716873796802</v>
      </c>
      <c r="F191" s="161">
        <v>14.5</v>
      </c>
      <c r="G191" s="272" t="s">
        <v>983</v>
      </c>
      <c r="H191" s="1"/>
    </row>
    <row r="192" spans="2:8" ht="17.25" x14ac:dyDescent="0.25">
      <c r="B192" s="1"/>
      <c r="C192" s="270" t="s">
        <v>219</v>
      </c>
      <c r="D192" s="161">
        <v>237</v>
      </c>
      <c r="E192" s="162">
        <f t="shared" si="2"/>
        <v>346.4912280701754</v>
      </c>
      <c r="F192" s="161">
        <v>14.5</v>
      </c>
      <c r="G192" s="272" t="s">
        <v>983</v>
      </c>
      <c r="H192" s="1"/>
    </row>
    <row r="193" spans="2:8" ht="17.25" x14ac:dyDescent="0.25">
      <c r="B193" s="1"/>
      <c r="C193" s="270" t="s">
        <v>220</v>
      </c>
      <c r="D193" s="161">
        <v>150</v>
      </c>
      <c r="E193" s="162">
        <f t="shared" si="2"/>
        <v>219.29824561403507</v>
      </c>
      <c r="F193" s="161">
        <v>15.9</v>
      </c>
      <c r="G193" s="272" t="s">
        <v>983</v>
      </c>
      <c r="H193" s="1"/>
    </row>
    <row r="194" spans="2:8" ht="17.25" x14ac:dyDescent="0.25">
      <c r="B194" s="1"/>
      <c r="C194" s="270" t="s">
        <v>221</v>
      </c>
      <c r="D194" s="161">
        <v>260</v>
      </c>
      <c r="E194" s="162">
        <f t="shared" si="2"/>
        <v>380.11695906432743</v>
      </c>
      <c r="F194" s="161">
        <v>15.9</v>
      </c>
      <c r="G194" s="272" t="s">
        <v>983</v>
      </c>
      <c r="H194" s="1"/>
    </row>
    <row r="195" spans="2:8" ht="17.25" x14ac:dyDescent="0.25">
      <c r="B195" s="1"/>
      <c r="C195" s="270" t="s">
        <v>222</v>
      </c>
      <c r="D195" s="161">
        <v>153.80000000000001</v>
      </c>
      <c r="E195" s="162">
        <f t="shared" si="2"/>
        <v>224.85380116959064</v>
      </c>
      <c r="F195" s="161">
        <v>15.9</v>
      </c>
      <c r="G195" s="272" t="s">
        <v>983</v>
      </c>
      <c r="H195" s="1"/>
    </row>
    <row r="196" spans="2:8" ht="17.25" x14ac:dyDescent="0.25">
      <c r="B196" s="1"/>
      <c r="C196" s="270" t="s">
        <v>223</v>
      </c>
      <c r="D196" s="161">
        <v>135.09996299037243</v>
      </c>
      <c r="E196" s="162">
        <f t="shared" si="2"/>
        <v>197.51456577539827</v>
      </c>
      <c r="F196" s="161">
        <v>15.9</v>
      </c>
      <c r="G196" s="272" t="s">
        <v>983</v>
      </c>
      <c r="H196" s="1"/>
    </row>
    <row r="197" spans="2:8" ht="17.25" x14ac:dyDescent="0.25">
      <c r="B197" s="1"/>
      <c r="C197" s="270" t="s">
        <v>224</v>
      </c>
      <c r="D197" s="161">
        <v>135.09996299037243</v>
      </c>
      <c r="E197" s="162">
        <f t="shared" si="2"/>
        <v>197.51456577539827</v>
      </c>
      <c r="F197" s="161">
        <v>15.9</v>
      </c>
      <c r="G197" s="272" t="s">
        <v>983</v>
      </c>
      <c r="H197" s="1"/>
    </row>
    <row r="198" spans="2:8" ht="17.25" x14ac:dyDescent="0.25">
      <c r="B198" s="1"/>
      <c r="C198" s="270" t="s">
        <v>225</v>
      </c>
      <c r="D198" s="161">
        <v>188</v>
      </c>
      <c r="E198" s="162">
        <f t="shared" si="2"/>
        <v>274.85380116959061</v>
      </c>
      <c r="F198" s="161">
        <v>15.9</v>
      </c>
      <c r="G198" s="272" t="s">
        <v>983</v>
      </c>
      <c r="H198" s="1"/>
    </row>
    <row r="199" spans="2:8" ht="17.25" x14ac:dyDescent="0.25">
      <c r="B199" s="1"/>
      <c r="C199" s="270" t="s">
        <v>226</v>
      </c>
      <c r="D199" s="161">
        <v>153.80000000000001</v>
      </c>
      <c r="E199" s="162">
        <f t="shared" si="2"/>
        <v>224.85380116959064</v>
      </c>
      <c r="F199" s="161">
        <v>15.9</v>
      </c>
      <c r="G199" s="272" t="s">
        <v>983</v>
      </c>
      <c r="H199" s="1"/>
    </row>
    <row r="200" spans="2:8" ht="17.25" x14ac:dyDescent="0.25">
      <c r="B200" s="1"/>
      <c r="C200" s="270" t="s">
        <v>227</v>
      </c>
      <c r="D200" s="161">
        <v>153.80000000000001</v>
      </c>
      <c r="E200" s="162">
        <f t="shared" si="2"/>
        <v>224.85380116959064</v>
      </c>
      <c r="F200" s="161">
        <v>15.9</v>
      </c>
      <c r="G200" s="272" t="s">
        <v>983</v>
      </c>
      <c r="H200" s="1"/>
    </row>
    <row r="201" spans="2:8" ht="17.25" x14ac:dyDescent="0.25">
      <c r="B201" s="1"/>
      <c r="C201" s="270" t="s">
        <v>228</v>
      </c>
      <c r="D201" s="161">
        <v>260</v>
      </c>
      <c r="E201" s="162">
        <f t="shared" si="2"/>
        <v>380.11695906432743</v>
      </c>
      <c r="F201" s="161">
        <v>12</v>
      </c>
      <c r="G201" s="272" t="s">
        <v>983</v>
      </c>
      <c r="H201" s="1"/>
    </row>
    <row r="202" spans="2:8" ht="17.25" x14ac:dyDescent="0.25">
      <c r="B202" s="1"/>
      <c r="C202" s="270" t="s">
        <v>229</v>
      </c>
      <c r="D202" s="161">
        <v>187</v>
      </c>
      <c r="E202" s="162">
        <f t="shared" si="2"/>
        <v>273.39181286549706</v>
      </c>
      <c r="F202" s="161">
        <v>14.5</v>
      </c>
      <c r="G202" s="272" t="s">
        <v>983</v>
      </c>
      <c r="H202" s="1"/>
    </row>
    <row r="203" spans="2:8" ht="17.25" x14ac:dyDescent="0.25">
      <c r="B203" s="1"/>
      <c r="C203" s="270" t="s">
        <v>230</v>
      </c>
      <c r="D203" s="161">
        <v>187</v>
      </c>
      <c r="E203" s="162">
        <f t="shared" si="2"/>
        <v>273.39181286549706</v>
      </c>
      <c r="F203" s="161">
        <v>12</v>
      </c>
      <c r="G203" s="272" t="s">
        <v>983</v>
      </c>
      <c r="H203" s="1"/>
    </row>
    <row r="204" spans="2:8" ht="17.25" x14ac:dyDescent="0.25">
      <c r="B204" s="1"/>
      <c r="C204" s="270" t="s">
        <v>231</v>
      </c>
      <c r="D204" s="161">
        <v>133.20068519047214</v>
      </c>
      <c r="E204" s="162">
        <f t="shared" si="2"/>
        <v>194.73784384571948</v>
      </c>
      <c r="F204" s="161">
        <v>13.8</v>
      </c>
      <c r="G204" s="272" t="s">
        <v>983</v>
      </c>
      <c r="H204" s="1"/>
    </row>
    <row r="205" spans="2:8" ht="17.25" x14ac:dyDescent="0.25">
      <c r="B205" s="1"/>
      <c r="C205" s="270" t="s">
        <v>232</v>
      </c>
      <c r="D205" s="161">
        <v>130.4</v>
      </c>
      <c r="E205" s="162">
        <f t="shared" si="2"/>
        <v>190.64327485380116</v>
      </c>
      <c r="F205" s="161">
        <v>13.8</v>
      </c>
      <c r="G205" s="272" t="s">
        <v>983</v>
      </c>
      <c r="H205" s="1"/>
    </row>
    <row r="206" spans="2:8" ht="17.25" x14ac:dyDescent="0.25">
      <c r="B206" s="1"/>
      <c r="C206" s="270" t="s">
        <v>233</v>
      </c>
      <c r="D206" s="161">
        <v>149.98285616315334</v>
      </c>
      <c r="E206" s="162">
        <f t="shared" si="2"/>
        <v>219.27318152507797</v>
      </c>
      <c r="F206" s="161">
        <v>14.5</v>
      </c>
      <c r="G206" s="272" t="s">
        <v>983</v>
      </c>
      <c r="H206" s="1"/>
    </row>
    <row r="207" spans="2:8" ht="17.25" x14ac:dyDescent="0.25">
      <c r="B207" s="1"/>
      <c r="C207" s="270" t="s">
        <v>234</v>
      </c>
      <c r="D207" s="161">
        <v>135.09996299037243</v>
      </c>
      <c r="E207" s="162">
        <f t="shared" si="2"/>
        <v>197.51456577539827</v>
      </c>
      <c r="F207" s="161">
        <v>15.9</v>
      </c>
      <c r="G207" s="272" t="s">
        <v>983</v>
      </c>
      <c r="H207" s="1"/>
    </row>
    <row r="208" spans="2:8" ht="17.25" x14ac:dyDescent="0.25">
      <c r="B208" s="1"/>
      <c r="C208" s="270" t="s">
        <v>235</v>
      </c>
      <c r="D208" s="161">
        <v>135.09996299037243</v>
      </c>
      <c r="E208" s="162">
        <f t="shared" si="2"/>
        <v>197.51456577539827</v>
      </c>
      <c r="F208" s="161">
        <v>15.9</v>
      </c>
      <c r="G208" s="272" t="s">
        <v>983</v>
      </c>
      <c r="H208" s="1"/>
    </row>
    <row r="209" spans="2:8" ht="17.25" x14ac:dyDescent="0.25">
      <c r="B209" s="1"/>
      <c r="C209" s="270" t="s">
        <v>236</v>
      </c>
      <c r="D209" s="161">
        <v>150</v>
      </c>
      <c r="E209" s="162">
        <f t="shared" si="2"/>
        <v>219.29824561403507</v>
      </c>
      <c r="F209" s="161">
        <v>14.5</v>
      </c>
      <c r="G209" s="272" t="s">
        <v>983</v>
      </c>
      <c r="H209" s="1"/>
    </row>
    <row r="210" spans="2:8" ht="17.25" x14ac:dyDescent="0.25">
      <c r="B210" s="1"/>
      <c r="C210" s="270" t="s">
        <v>237</v>
      </c>
      <c r="D210" s="161">
        <v>117.5196472935483</v>
      </c>
      <c r="E210" s="162">
        <f t="shared" si="2"/>
        <v>171.81234984436884</v>
      </c>
      <c r="F210" s="161">
        <v>12</v>
      </c>
      <c r="G210" s="272" t="s">
        <v>983</v>
      </c>
      <c r="H210" s="1"/>
    </row>
    <row r="211" spans="2:8" ht="17.25" x14ac:dyDescent="0.25">
      <c r="B211" s="1"/>
      <c r="C211" s="270" t="s">
        <v>238</v>
      </c>
      <c r="D211" s="161">
        <v>117.5196472935483</v>
      </c>
      <c r="E211" s="162">
        <f t="shared" si="2"/>
        <v>171.81234984436884</v>
      </c>
      <c r="F211" s="161">
        <v>12</v>
      </c>
      <c r="G211" s="272" t="s">
        <v>983</v>
      </c>
      <c r="H211" s="1"/>
    </row>
    <row r="212" spans="2:8" ht="17.25" x14ac:dyDescent="0.25">
      <c r="B212" s="1"/>
      <c r="C212" s="270" t="s">
        <v>239</v>
      </c>
      <c r="D212" s="161">
        <v>137</v>
      </c>
      <c r="E212" s="162">
        <f t="shared" ref="E212:E275" si="3">D212/0.684</f>
        <v>200.29239766081869</v>
      </c>
      <c r="F212" s="161">
        <v>14.5</v>
      </c>
      <c r="G212" s="272" t="s">
        <v>983</v>
      </c>
      <c r="H212" s="1"/>
    </row>
    <row r="213" spans="2:8" ht="17.25" x14ac:dyDescent="0.25">
      <c r="B213" s="1"/>
      <c r="C213" s="270" t="s">
        <v>240</v>
      </c>
      <c r="D213" s="161">
        <v>168.00892833418109</v>
      </c>
      <c r="E213" s="162">
        <f t="shared" si="3"/>
        <v>245.62708820786708</v>
      </c>
      <c r="F213" s="161">
        <v>12</v>
      </c>
      <c r="G213" s="272" t="s">
        <v>983</v>
      </c>
      <c r="H213" s="1"/>
    </row>
    <row r="214" spans="2:8" ht="17.25" x14ac:dyDescent="0.25">
      <c r="B214" s="1"/>
      <c r="C214" s="270" t="s">
        <v>241</v>
      </c>
      <c r="D214" s="161">
        <v>168.00892833418109</v>
      </c>
      <c r="E214" s="162">
        <f t="shared" si="3"/>
        <v>245.62708820786708</v>
      </c>
      <c r="F214" s="161">
        <v>12</v>
      </c>
      <c r="G214" s="272" t="s">
        <v>983</v>
      </c>
      <c r="H214" s="1"/>
    </row>
    <row r="215" spans="2:8" ht="17.25" x14ac:dyDescent="0.25">
      <c r="B215" s="1"/>
      <c r="C215" s="270" t="s">
        <v>242</v>
      </c>
      <c r="D215" s="161">
        <v>186.5898964941141</v>
      </c>
      <c r="E215" s="162">
        <f t="shared" si="3"/>
        <v>272.79224633642411</v>
      </c>
      <c r="F215" s="161">
        <v>15.9</v>
      </c>
      <c r="G215" s="272" t="s">
        <v>983</v>
      </c>
      <c r="H215" s="1"/>
    </row>
    <row r="216" spans="2:8" ht="17.25" x14ac:dyDescent="0.25">
      <c r="B216" s="1"/>
      <c r="C216" s="270" t="s">
        <v>243</v>
      </c>
      <c r="D216" s="161">
        <v>261</v>
      </c>
      <c r="E216" s="162">
        <f t="shared" si="3"/>
        <v>381.57894736842104</v>
      </c>
      <c r="F216" s="161">
        <v>15.9</v>
      </c>
      <c r="G216" s="272" t="s">
        <v>983</v>
      </c>
      <c r="H216" s="1"/>
    </row>
    <row r="217" spans="2:8" ht="17.25" x14ac:dyDescent="0.25">
      <c r="B217" s="1"/>
      <c r="C217" s="270" t="s">
        <v>244</v>
      </c>
      <c r="D217" s="161">
        <v>187</v>
      </c>
      <c r="E217" s="162">
        <f t="shared" si="3"/>
        <v>273.39181286549706</v>
      </c>
      <c r="F217" s="161">
        <v>14.5</v>
      </c>
      <c r="G217" s="272" t="s">
        <v>983</v>
      </c>
      <c r="H217" s="1"/>
    </row>
    <row r="218" spans="2:8" ht="17.25" x14ac:dyDescent="0.25">
      <c r="B218" s="1"/>
      <c r="C218" s="270" t="s">
        <v>245</v>
      </c>
      <c r="D218" s="161">
        <v>213</v>
      </c>
      <c r="E218" s="162">
        <f t="shared" si="3"/>
        <v>311.40350877192981</v>
      </c>
      <c r="F218" s="161">
        <v>14.5</v>
      </c>
      <c r="G218" s="272" t="s">
        <v>983</v>
      </c>
      <c r="H218" s="1"/>
    </row>
    <row r="219" spans="2:8" ht="17.25" x14ac:dyDescent="0.25">
      <c r="B219" s="1"/>
      <c r="C219" s="270" t="s">
        <v>246</v>
      </c>
      <c r="D219" s="161">
        <v>149.82239485470788</v>
      </c>
      <c r="E219" s="162">
        <f t="shared" si="3"/>
        <v>219.03858896887115</v>
      </c>
      <c r="F219" s="161">
        <v>15.9</v>
      </c>
      <c r="G219" s="272" t="s">
        <v>983</v>
      </c>
      <c r="H219" s="1"/>
    </row>
    <row r="220" spans="2:8" ht="17.25" x14ac:dyDescent="0.25">
      <c r="B220" s="1"/>
      <c r="C220" s="270" t="s">
        <v>247</v>
      </c>
      <c r="D220" s="161">
        <v>172.37352342789589</v>
      </c>
      <c r="E220" s="162">
        <f t="shared" si="3"/>
        <v>252.00807518698227</v>
      </c>
      <c r="F220" s="161">
        <v>12</v>
      </c>
      <c r="G220" s="272" t="s">
        <v>983</v>
      </c>
      <c r="H220" s="1"/>
    </row>
    <row r="221" spans="2:8" ht="17.25" x14ac:dyDescent="0.25">
      <c r="B221" s="1"/>
      <c r="C221" s="270" t="s">
        <v>248</v>
      </c>
      <c r="D221" s="161">
        <v>149.82239485470788</v>
      </c>
      <c r="E221" s="162">
        <f t="shared" si="3"/>
        <v>219.03858896887115</v>
      </c>
      <c r="F221" s="161">
        <v>15.9</v>
      </c>
      <c r="G221" s="272" t="s">
        <v>983</v>
      </c>
      <c r="H221" s="1"/>
    </row>
    <row r="222" spans="2:8" ht="17.25" x14ac:dyDescent="0.25">
      <c r="B222" s="1"/>
      <c r="C222" s="270" t="s">
        <v>249</v>
      </c>
      <c r="D222" s="161">
        <v>117.5196472935483</v>
      </c>
      <c r="E222" s="162">
        <f t="shared" si="3"/>
        <v>171.81234984436884</v>
      </c>
      <c r="F222" s="161">
        <v>12</v>
      </c>
      <c r="G222" s="272" t="s">
        <v>983</v>
      </c>
      <c r="H222" s="1"/>
    </row>
    <row r="223" spans="2:8" ht="17.25" x14ac:dyDescent="0.25">
      <c r="B223" s="1"/>
      <c r="C223" s="270" t="s">
        <v>250</v>
      </c>
      <c r="D223" s="161">
        <v>117.5196472935483</v>
      </c>
      <c r="E223" s="162">
        <f t="shared" si="3"/>
        <v>171.81234984436884</v>
      </c>
      <c r="F223" s="161">
        <v>12</v>
      </c>
      <c r="G223" s="272" t="s">
        <v>983</v>
      </c>
      <c r="H223" s="1"/>
    </row>
    <row r="224" spans="2:8" ht="17.25" x14ac:dyDescent="0.25">
      <c r="B224" s="1"/>
      <c r="C224" s="270" t="s">
        <v>251</v>
      </c>
      <c r="D224" s="161">
        <v>129.9038105676658</v>
      </c>
      <c r="E224" s="162">
        <f t="shared" si="3"/>
        <v>189.91785170711373</v>
      </c>
      <c r="F224" s="161">
        <v>12</v>
      </c>
      <c r="G224" s="272" t="s">
        <v>983</v>
      </c>
      <c r="H224" s="1"/>
    </row>
    <row r="225" spans="2:8" ht="17.25" x14ac:dyDescent="0.25">
      <c r="B225" s="1"/>
      <c r="C225" s="270" t="s">
        <v>252</v>
      </c>
      <c r="D225" s="161">
        <v>129.9038105676658</v>
      </c>
      <c r="E225" s="162">
        <f t="shared" si="3"/>
        <v>189.91785170711373</v>
      </c>
      <c r="F225" s="161">
        <v>12</v>
      </c>
      <c r="G225" s="272" t="s">
        <v>983</v>
      </c>
      <c r="H225" s="1"/>
    </row>
    <row r="226" spans="2:8" ht="17.25" x14ac:dyDescent="0.25">
      <c r="B226" s="1"/>
      <c r="C226" s="270" t="s">
        <v>253</v>
      </c>
      <c r="D226" s="161">
        <v>187</v>
      </c>
      <c r="E226" s="162">
        <f t="shared" si="3"/>
        <v>273.39181286549706</v>
      </c>
      <c r="F226" s="161">
        <v>14.5</v>
      </c>
      <c r="G226" s="272" t="s">
        <v>983</v>
      </c>
      <c r="H226" s="1"/>
    </row>
    <row r="227" spans="2:8" ht="17.25" x14ac:dyDescent="0.25">
      <c r="B227" s="1"/>
      <c r="C227" s="270" t="s">
        <v>254</v>
      </c>
      <c r="D227" s="161">
        <v>185.32943640986986</v>
      </c>
      <c r="E227" s="162">
        <f t="shared" si="3"/>
        <v>270.94946843548223</v>
      </c>
      <c r="F227" s="161">
        <v>12</v>
      </c>
      <c r="G227" s="272" t="s">
        <v>983</v>
      </c>
      <c r="H227" s="1"/>
    </row>
    <row r="228" spans="2:8" ht="17.25" x14ac:dyDescent="0.25">
      <c r="B228" s="1"/>
      <c r="C228" s="270" t="s">
        <v>255</v>
      </c>
      <c r="D228" s="161">
        <v>149.82239485470788</v>
      </c>
      <c r="E228" s="162">
        <f t="shared" si="3"/>
        <v>219.03858896887115</v>
      </c>
      <c r="F228" s="161">
        <v>15.9</v>
      </c>
      <c r="G228" s="272" t="s">
        <v>983</v>
      </c>
      <c r="H228" s="1"/>
    </row>
    <row r="229" spans="2:8" ht="17.25" x14ac:dyDescent="0.25">
      <c r="B229" s="1"/>
      <c r="C229" s="270" t="s">
        <v>256</v>
      </c>
      <c r="D229" s="161">
        <v>194</v>
      </c>
      <c r="E229" s="162">
        <f t="shared" si="3"/>
        <v>283.62573099415204</v>
      </c>
      <c r="F229" s="161">
        <v>12</v>
      </c>
      <c r="G229" s="272" t="s">
        <v>983</v>
      </c>
      <c r="H229" s="1"/>
    </row>
    <row r="230" spans="2:8" ht="17.25" x14ac:dyDescent="0.25">
      <c r="B230" s="1"/>
      <c r="C230" s="270" t="s">
        <v>257</v>
      </c>
      <c r="D230" s="161">
        <v>194</v>
      </c>
      <c r="E230" s="162">
        <f t="shared" si="3"/>
        <v>283.62573099415204</v>
      </c>
      <c r="F230" s="161">
        <v>12</v>
      </c>
      <c r="G230" s="272" t="s">
        <v>983</v>
      </c>
      <c r="H230" s="1"/>
    </row>
    <row r="231" spans="2:8" ht="17.25" x14ac:dyDescent="0.25">
      <c r="B231" s="1"/>
      <c r="C231" s="270" t="s">
        <v>258</v>
      </c>
      <c r="D231" s="161">
        <v>212.93862294768684</v>
      </c>
      <c r="E231" s="162">
        <f t="shared" si="3"/>
        <v>311.3137762393082</v>
      </c>
      <c r="F231" s="161">
        <v>12</v>
      </c>
      <c r="G231" s="272" t="s">
        <v>983</v>
      </c>
      <c r="H231" s="1"/>
    </row>
    <row r="232" spans="2:8" ht="17.25" x14ac:dyDescent="0.25">
      <c r="B232" s="1"/>
      <c r="C232" s="270" t="s">
        <v>259</v>
      </c>
      <c r="D232" s="161">
        <v>213</v>
      </c>
      <c r="E232" s="162">
        <f t="shared" si="3"/>
        <v>311.40350877192981</v>
      </c>
      <c r="F232" s="161">
        <v>12</v>
      </c>
      <c r="G232" s="272" t="s">
        <v>983</v>
      </c>
      <c r="H232" s="1"/>
    </row>
    <row r="233" spans="2:8" ht="17.25" x14ac:dyDescent="0.25">
      <c r="B233" s="1"/>
      <c r="C233" s="270" t="s">
        <v>260</v>
      </c>
      <c r="D233" s="161">
        <v>168.00892833418109</v>
      </c>
      <c r="E233" s="162">
        <f t="shared" si="3"/>
        <v>245.62708820786708</v>
      </c>
      <c r="F233" s="161">
        <v>12</v>
      </c>
      <c r="G233" s="272" t="s">
        <v>983</v>
      </c>
      <c r="H233" s="1"/>
    </row>
    <row r="234" spans="2:8" ht="17.25" x14ac:dyDescent="0.25">
      <c r="B234" s="1"/>
      <c r="C234" s="270" t="s">
        <v>261</v>
      </c>
      <c r="D234" s="161">
        <v>168.00892833418109</v>
      </c>
      <c r="E234" s="162">
        <f t="shared" si="3"/>
        <v>245.62708820786708</v>
      </c>
      <c r="F234" s="161">
        <v>12</v>
      </c>
      <c r="G234" s="272" t="s">
        <v>983</v>
      </c>
      <c r="H234" s="1"/>
    </row>
    <row r="235" spans="2:8" ht="17.25" x14ac:dyDescent="0.25">
      <c r="B235" s="1"/>
      <c r="C235" s="270" t="s">
        <v>262</v>
      </c>
      <c r="D235" s="161">
        <v>172.37352342789589</v>
      </c>
      <c r="E235" s="162">
        <f t="shared" si="3"/>
        <v>252.00807518698227</v>
      </c>
      <c r="F235" s="161">
        <v>12</v>
      </c>
      <c r="G235" s="272" t="s">
        <v>983</v>
      </c>
      <c r="H235" s="1"/>
    </row>
    <row r="236" spans="2:8" ht="17.25" x14ac:dyDescent="0.25">
      <c r="B236" s="1"/>
      <c r="C236" s="270" t="s">
        <v>263</v>
      </c>
      <c r="D236" s="161">
        <v>150</v>
      </c>
      <c r="E236" s="162">
        <f t="shared" si="3"/>
        <v>219.29824561403507</v>
      </c>
      <c r="F236" s="161">
        <v>15.9</v>
      </c>
      <c r="G236" s="272" t="s">
        <v>984</v>
      </c>
      <c r="H236" s="1"/>
    </row>
    <row r="237" spans="2:8" ht="17.25" x14ac:dyDescent="0.25">
      <c r="B237" s="1"/>
      <c r="C237" s="270" t="s">
        <v>264</v>
      </c>
      <c r="D237" s="161">
        <v>150</v>
      </c>
      <c r="E237" s="162">
        <f t="shared" si="3"/>
        <v>219.29824561403507</v>
      </c>
      <c r="F237" s="161">
        <v>15.9</v>
      </c>
      <c r="G237" s="272" t="s">
        <v>984</v>
      </c>
      <c r="H237" s="1"/>
    </row>
    <row r="238" spans="2:8" ht="17.25" x14ac:dyDescent="0.25">
      <c r="B238" s="1"/>
      <c r="C238" s="270" t="s">
        <v>265</v>
      </c>
      <c r="D238" s="161">
        <v>187</v>
      </c>
      <c r="E238" s="162">
        <f t="shared" si="3"/>
        <v>273.39181286549706</v>
      </c>
      <c r="F238" s="161">
        <v>15.9</v>
      </c>
      <c r="G238" s="272" t="s">
        <v>984</v>
      </c>
      <c r="H238" s="1"/>
    </row>
    <row r="239" spans="2:8" ht="17.25" x14ac:dyDescent="0.25">
      <c r="B239" s="1"/>
      <c r="C239" s="270" t="s">
        <v>266</v>
      </c>
      <c r="D239" s="161">
        <v>150</v>
      </c>
      <c r="E239" s="162">
        <f t="shared" si="3"/>
        <v>219.29824561403507</v>
      </c>
      <c r="F239" s="161">
        <v>15.9</v>
      </c>
      <c r="G239" s="272" t="s">
        <v>984</v>
      </c>
      <c r="H239" s="1"/>
    </row>
    <row r="240" spans="2:8" ht="17.25" x14ac:dyDescent="0.25">
      <c r="B240" s="1"/>
      <c r="C240" s="270" t="s">
        <v>267</v>
      </c>
      <c r="D240" s="161">
        <v>187</v>
      </c>
      <c r="E240" s="162">
        <f t="shared" si="3"/>
        <v>273.39181286549706</v>
      </c>
      <c r="F240" s="161">
        <v>15.9</v>
      </c>
      <c r="G240" s="272" t="s">
        <v>984</v>
      </c>
      <c r="H240" s="1"/>
    </row>
    <row r="241" spans="2:8" ht="17.25" x14ac:dyDescent="0.25">
      <c r="B241" s="1"/>
      <c r="C241" s="270" t="s">
        <v>268</v>
      </c>
      <c r="D241" s="161">
        <v>150</v>
      </c>
      <c r="E241" s="162">
        <f t="shared" si="3"/>
        <v>219.29824561403507</v>
      </c>
      <c r="F241" s="161">
        <v>15.9</v>
      </c>
      <c r="G241" s="272" t="s">
        <v>984</v>
      </c>
      <c r="H241" s="1"/>
    </row>
    <row r="242" spans="2:8" ht="17.25" x14ac:dyDescent="0.25">
      <c r="B242" s="1"/>
      <c r="C242" s="270" t="s">
        <v>269</v>
      </c>
      <c r="D242" s="161">
        <v>187</v>
      </c>
      <c r="E242" s="162">
        <f t="shared" si="3"/>
        <v>273.39181286549706</v>
      </c>
      <c r="F242" s="161">
        <v>15.9</v>
      </c>
      <c r="G242" s="272" t="s">
        <v>984</v>
      </c>
      <c r="H242" s="1"/>
    </row>
    <row r="243" spans="2:8" ht="17.25" x14ac:dyDescent="0.25">
      <c r="B243" s="1"/>
      <c r="C243" s="270" t="s">
        <v>270</v>
      </c>
      <c r="D243" s="161">
        <v>187</v>
      </c>
      <c r="E243" s="162">
        <f t="shared" si="3"/>
        <v>273.39181286549706</v>
      </c>
      <c r="F243" s="161">
        <v>15.9</v>
      </c>
      <c r="G243" s="272" t="s">
        <v>984</v>
      </c>
      <c r="H243" s="1"/>
    </row>
    <row r="244" spans="2:8" ht="17.25" x14ac:dyDescent="0.25">
      <c r="B244" s="1"/>
      <c r="C244" s="270" t="s">
        <v>271</v>
      </c>
      <c r="D244" s="161">
        <v>135.09996299037243</v>
      </c>
      <c r="E244" s="162">
        <f t="shared" si="3"/>
        <v>197.51456577539827</v>
      </c>
      <c r="F244" s="161">
        <v>15.9</v>
      </c>
      <c r="G244" s="272" t="s">
        <v>984</v>
      </c>
      <c r="H244" s="1"/>
    </row>
    <row r="245" spans="2:8" ht="17.25" x14ac:dyDescent="0.25">
      <c r="B245" s="1"/>
      <c r="C245" s="270" t="s">
        <v>272</v>
      </c>
      <c r="D245" s="161">
        <v>149.82239485470788</v>
      </c>
      <c r="E245" s="162">
        <f t="shared" si="3"/>
        <v>219.03858896887115</v>
      </c>
      <c r="F245" s="161">
        <v>15.9</v>
      </c>
      <c r="G245" s="272" t="s">
        <v>984</v>
      </c>
      <c r="H245" s="1"/>
    </row>
    <row r="246" spans="2:8" ht="17.25" x14ac:dyDescent="0.25">
      <c r="B246" s="1"/>
      <c r="C246" s="270" t="s">
        <v>273</v>
      </c>
      <c r="D246" s="161">
        <v>213</v>
      </c>
      <c r="E246" s="162">
        <f t="shared" si="3"/>
        <v>311.40350877192981</v>
      </c>
      <c r="F246" s="161">
        <v>14.5</v>
      </c>
      <c r="G246" s="272" t="s">
        <v>983</v>
      </c>
      <c r="H246" s="1"/>
    </row>
    <row r="247" spans="2:8" ht="17.25" x14ac:dyDescent="0.25">
      <c r="B247" s="1"/>
      <c r="C247" s="270" t="s">
        <v>274</v>
      </c>
      <c r="D247" s="161">
        <v>117.5196472935483</v>
      </c>
      <c r="E247" s="162">
        <f t="shared" si="3"/>
        <v>171.81234984436884</v>
      </c>
      <c r="F247" s="161">
        <v>15.9</v>
      </c>
      <c r="G247" s="272" t="s">
        <v>983</v>
      </c>
      <c r="H247" s="1"/>
    </row>
    <row r="248" spans="2:8" ht="17.25" x14ac:dyDescent="0.25">
      <c r="B248" s="1"/>
      <c r="C248" s="270" t="s">
        <v>275</v>
      </c>
      <c r="D248" s="161">
        <v>117.5196472935483</v>
      </c>
      <c r="E248" s="162">
        <f t="shared" si="3"/>
        <v>171.81234984436884</v>
      </c>
      <c r="F248" s="161">
        <v>15.9</v>
      </c>
      <c r="G248" s="272" t="s">
        <v>983</v>
      </c>
      <c r="H248" s="1"/>
    </row>
    <row r="249" spans="2:8" ht="17.25" x14ac:dyDescent="0.25">
      <c r="B249" s="1"/>
      <c r="C249" s="270" t="s">
        <v>276</v>
      </c>
      <c r="D249" s="161">
        <v>213</v>
      </c>
      <c r="E249" s="162">
        <f t="shared" si="3"/>
        <v>311.40350877192981</v>
      </c>
      <c r="F249" s="161">
        <v>14.5</v>
      </c>
      <c r="G249" s="272" t="s">
        <v>983</v>
      </c>
      <c r="H249" s="1"/>
    </row>
    <row r="250" spans="2:8" ht="17.25" x14ac:dyDescent="0.25">
      <c r="B250" s="1"/>
      <c r="C250" s="270" t="s">
        <v>277</v>
      </c>
      <c r="D250" s="161">
        <v>213</v>
      </c>
      <c r="E250" s="162">
        <f t="shared" si="3"/>
        <v>311.40350877192981</v>
      </c>
      <c r="F250" s="161">
        <v>14.5</v>
      </c>
      <c r="G250" s="272" t="s">
        <v>983</v>
      </c>
      <c r="H250" s="1"/>
    </row>
    <row r="251" spans="2:8" ht="17.25" x14ac:dyDescent="0.25">
      <c r="B251" s="1"/>
      <c r="C251" s="270" t="s">
        <v>278</v>
      </c>
      <c r="D251" s="161">
        <v>79</v>
      </c>
      <c r="E251" s="162">
        <f t="shared" si="3"/>
        <v>115.4970760233918</v>
      </c>
      <c r="F251" s="161">
        <v>15.9</v>
      </c>
      <c r="G251" s="272" t="s">
        <v>983</v>
      </c>
      <c r="H251" s="1"/>
    </row>
    <row r="252" spans="2:8" ht="17.25" x14ac:dyDescent="0.25">
      <c r="B252" s="1"/>
      <c r="C252" s="270" t="s">
        <v>279</v>
      </c>
      <c r="D252" s="161">
        <v>150.62982587935383</v>
      </c>
      <c r="E252" s="162">
        <f t="shared" si="3"/>
        <v>220.21904368326582</v>
      </c>
      <c r="F252" s="161">
        <v>14.5</v>
      </c>
      <c r="G252" s="272" t="s">
        <v>983</v>
      </c>
      <c r="H252" s="1"/>
    </row>
    <row r="253" spans="2:8" ht="17.25" x14ac:dyDescent="0.25">
      <c r="B253" s="1"/>
      <c r="C253" s="270" t="s">
        <v>280</v>
      </c>
      <c r="D253" s="161">
        <v>150.62982587935383</v>
      </c>
      <c r="E253" s="162">
        <f t="shared" si="3"/>
        <v>220.21904368326582</v>
      </c>
      <c r="F253" s="161">
        <v>14.5</v>
      </c>
      <c r="G253" s="272" t="s">
        <v>983</v>
      </c>
      <c r="H253" s="1"/>
    </row>
    <row r="254" spans="2:8" ht="17.25" x14ac:dyDescent="0.25">
      <c r="B254" s="1"/>
      <c r="C254" s="270" t="s">
        <v>281</v>
      </c>
      <c r="D254" s="161">
        <v>326.76869155073257</v>
      </c>
      <c r="E254" s="162">
        <f t="shared" si="3"/>
        <v>477.73200519112947</v>
      </c>
      <c r="F254" s="161">
        <v>14.5</v>
      </c>
      <c r="G254" s="272" t="s">
        <v>983</v>
      </c>
      <c r="H254" s="1"/>
    </row>
    <row r="255" spans="2:8" ht="17.25" x14ac:dyDescent="0.25">
      <c r="B255" s="1"/>
      <c r="C255" s="270" t="s">
        <v>282</v>
      </c>
      <c r="D255" s="161">
        <v>326.76869155073257</v>
      </c>
      <c r="E255" s="162">
        <f t="shared" si="3"/>
        <v>477.73200519112947</v>
      </c>
      <c r="F255" s="161">
        <v>14.5</v>
      </c>
      <c r="G255" s="272" t="s">
        <v>983</v>
      </c>
      <c r="H255" s="1"/>
    </row>
    <row r="256" spans="2:8" ht="17.25" x14ac:dyDescent="0.25">
      <c r="B256" s="1"/>
      <c r="C256" s="270" t="s">
        <v>283</v>
      </c>
      <c r="D256" s="161">
        <v>150</v>
      </c>
      <c r="E256" s="162">
        <f t="shared" si="3"/>
        <v>219.29824561403507</v>
      </c>
      <c r="F256" s="161">
        <v>15.9</v>
      </c>
      <c r="G256" s="272" t="s">
        <v>983</v>
      </c>
      <c r="H256" s="1"/>
    </row>
    <row r="257" spans="2:8" ht="17.25" x14ac:dyDescent="0.25">
      <c r="B257" s="1"/>
      <c r="C257" s="270" t="s">
        <v>284</v>
      </c>
      <c r="D257" s="161">
        <v>611.41393507181363</v>
      </c>
      <c r="E257" s="162">
        <f t="shared" si="3"/>
        <v>893.88002203481517</v>
      </c>
      <c r="F257" s="161">
        <v>1.3</v>
      </c>
      <c r="G257" s="272" t="s">
        <v>980</v>
      </c>
      <c r="H257" s="1"/>
    </row>
    <row r="258" spans="2:8" ht="17.25" x14ac:dyDescent="0.25">
      <c r="B258" s="1"/>
      <c r="C258" s="270" t="s">
        <v>285</v>
      </c>
      <c r="D258" s="161">
        <v>792.932859705032</v>
      </c>
      <c r="E258" s="162">
        <f t="shared" si="3"/>
        <v>1159.2585668202221</v>
      </c>
      <c r="F258" s="161">
        <v>1.3</v>
      </c>
      <c r="G258" s="272" t="s">
        <v>980</v>
      </c>
      <c r="H258" s="1"/>
    </row>
    <row r="259" spans="2:8" ht="17.25" x14ac:dyDescent="0.25">
      <c r="B259" s="1"/>
      <c r="C259" s="270" t="s">
        <v>286</v>
      </c>
      <c r="D259" s="161" t="s">
        <v>977</v>
      </c>
      <c r="E259" s="162"/>
      <c r="F259" s="161"/>
      <c r="G259" s="272" t="s">
        <v>980</v>
      </c>
      <c r="H259" s="1"/>
    </row>
    <row r="260" spans="2:8" ht="17.25" x14ac:dyDescent="0.25">
      <c r="B260" s="1"/>
      <c r="C260" s="270" t="s">
        <v>287</v>
      </c>
      <c r="D260" s="161">
        <v>793.27926986654575</v>
      </c>
      <c r="E260" s="162">
        <f t="shared" si="3"/>
        <v>1159.7650144247743</v>
      </c>
      <c r="F260" s="161">
        <v>1.3</v>
      </c>
      <c r="G260" s="272" t="s">
        <v>980</v>
      </c>
      <c r="H260" s="1"/>
    </row>
    <row r="261" spans="2:8" ht="17.25" x14ac:dyDescent="0.25">
      <c r="B261" s="1"/>
      <c r="C261" s="270" t="s">
        <v>288</v>
      </c>
      <c r="D261" s="161" t="s">
        <v>977</v>
      </c>
      <c r="E261" s="162"/>
      <c r="F261" s="161"/>
      <c r="G261" s="272" t="s">
        <v>980</v>
      </c>
      <c r="H261" s="1"/>
    </row>
    <row r="262" spans="2:8" ht="17.25" x14ac:dyDescent="0.25">
      <c r="B262" s="1"/>
      <c r="C262" s="270" t="s">
        <v>289</v>
      </c>
      <c r="D262" s="161">
        <v>671.34289301369688</v>
      </c>
      <c r="E262" s="162">
        <f t="shared" si="3"/>
        <v>981.4954576223638</v>
      </c>
      <c r="F262" s="161">
        <v>1.3</v>
      </c>
      <c r="G262" s="272" t="s">
        <v>980</v>
      </c>
      <c r="H262" s="1"/>
    </row>
    <row r="263" spans="2:8" ht="17.25" x14ac:dyDescent="0.25">
      <c r="B263" s="1"/>
      <c r="C263" s="270" t="s">
        <v>290</v>
      </c>
      <c r="D263" s="161">
        <v>436.47680350735703</v>
      </c>
      <c r="E263" s="162">
        <f t="shared" si="3"/>
        <v>638.12398173590202</v>
      </c>
      <c r="F263" s="161">
        <v>1.3</v>
      </c>
      <c r="G263" s="272" t="s">
        <v>980</v>
      </c>
      <c r="H263" s="1"/>
    </row>
    <row r="264" spans="2:8" ht="17.25" x14ac:dyDescent="0.25">
      <c r="B264" s="1"/>
      <c r="C264" s="270" t="s">
        <v>291</v>
      </c>
      <c r="D264" s="161">
        <v>467.52906448301547</v>
      </c>
      <c r="E264" s="162">
        <f t="shared" si="3"/>
        <v>683.52202409797576</v>
      </c>
      <c r="F264" s="161">
        <v>0.78</v>
      </c>
      <c r="G264" s="272" t="s">
        <v>980</v>
      </c>
      <c r="H264" s="1"/>
    </row>
    <row r="265" spans="2:8" ht="17.25" x14ac:dyDescent="0.25">
      <c r="B265" s="1"/>
      <c r="C265" s="270" t="s">
        <v>292</v>
      </c>
      <c r="D265" s="161">
        <v>318.99361749100871</v>
      </c>
      <c r="E265" s="162">
        <f t="shared" si="3"/>
        <v>466.36493785235189</v>
      </c>
      <c r="F265" s="161">
        <v>1.3</v>
      </c>
      <c r="G265" s="272" t="s">
        <v>980</v>
      </c>
      <c r="H265" s="1"/>
    </row>
    <row r="266" spans="2:8" ht="17.25" x14ac:dyDescent="0.25">
      <c r="B266" s="1"/>
      <c r="C266" s="270" t="s">
        <v>293</v>
      </c>
      <c r="D266" s="161">
        <v>361.13259337811087</v>
      </c>
      <c r="E266" s="162">
        <f t="shared" si="3"/>
        <v>527.97162774577612</v>
      </c>
      <c r="F266" s="161">
        <v>1.3</v>
      </c>
      <c r="G266" s="272" t="s">
        <v>980</v>
      </c>
      <c r="H266" s="1"/>
    </row>
    <row r="267" spans="2:8" ht="17.25" x14ac:dyDescent="0.25">
      <c r="B267" s="1"/>
      <c r="C267" s="270" t="s">
        <v>294</v>
      </c>
      <c r="D267" s="161">
        <v>530.00754711607647</v>
      </c>
      <c r="E267" s="162">
        <f t="shared" si="3"/>
        <v>774.86483496502399</v>
      </c>
      <c r="F267" s="161">
        <v>1.3</v>
      </c>
      <c r="G267" s="272" t="s">
        <v>980</v>
      </c>
      <c r="H267" s="1"/>
    </row>
    <row r="268" spans="2:8" ht="17.25" x14ac:dyDescent="0.25">
      <c r="B268" s="1"/>
      <c r="C268" s="270" t="s">
        <v>295</v>
      </c>
      <c r="D268" s="161">
        <v>474.34164902525691</v>
      </c>
      <c r="E268" s="162">
        <f t="shared" si="3"/>
        <v>693.48194301938145</v>
      </c>
      <c r="F268" s="161">
        <v>1.3</v>
      </c>
      <c r="G268" s="272" t="s">
        <v>980</v>
      </c>
      <c r="H268" s="1"/>
    </row>
    <row r="269" spans="2:8" ht="17.25" x14ac:dyDescent="0.25">
      <c r="B269" s="1"/>
      <c r="C269" s="270" t="s">
        <v>296</v>
      </c>
      <c r="D269" s="161" t="s">
        <v>977</v>
      </c>
      <c r="E269" s="162"/>
      <c r="F269" s="161"/>
      <c r="G269" s="272" t="s">
        <v>980</v>
      </c>
      <c r="H269" s="1"/>
    </row>
    <row r="270" spans="2:8" ht="17.25" x14ac:dyDescent="0.25">
      <c r="B270" s="1"/>
      <c r="C270" s="270" t="s">
        <v>297</v>
      </c>
      <c r="D270" s="161">
        <v>352.29913425950963</v>
      </c>
      <c r="E270" s="162">
        <f t="shared" si="3"/>
        <v>515.05721382969239</v>
      </c>
      <c r="F270" s="161">
        <v>1.3</v>
      </c>
      <c r="G270" s="272" t="s">
        <v>980</v>
      </c>
      <c r="H270" s="1"/>
    </row>
    <row r="271" spans="2:8" ht="17.25" x14ac:dyDescent="0.25">
      <c r="B271" s="1"/>
      <c r="C271" s="270" t="s">
        <v>298</v>
      </c>
      <c r="D271" s="161">
        <v>536.93575034635194</v>
      </c>
      <c r="E271" s="162">
        <f t="shared" si="3"/>
        <v>784.99378705607</v>
      </c>
      <c r="F271" s="161">
        <v>1.3</v>
      </c>
      <c r="G271" s="272" t="s">
        <v>980</v>
      </c>
      <c r="H271" s="1"/>
    </row>
    <row r="272" spans="2:8" ht="17.25" x14ac:dyDescent="0.25">
      <c r="B272" s="1"/>
      <c r="C272" s="270" t="s">
        <v>299</v>
      </c>
      <c r="D272" s="161">
        <v>426.08449866194377</v>
      </c>
      <c r="E272" s="162">
        <f t="shared" si="3"/>
        <v>622.93055359933294</v>
      </c>
      <c r="F272" s="161">
        <v>1.3</v>
      </c>
      <c r="G272" s="272" t="s">
        <v>980</v>
      </c>
      <c r="H272" s="1"/>
    </row>
    <row r="273" spans="2:8" ht="17.25" x14ac:dyDescent="0.25">
      <c r="B273" s="1"/>
      <c r="C273" s="270" t="s">
        <v>300</v>
      </c>
      <c r="D273" s="161">
        <v>351.63788191831662</v>
      </c>
      <c r="E273" s="162">
        <f t="shared" si="3"/>
        <v>514.09047064081369</v>
      </c>
      <c r="F273" s="161">
        <v>1.3</v>
      </c>
      <c r="G273" s="272" t="s">
        <v>980</v>
      </c>
      <c r="H273" s="1"/>
    </row>
    <row r="274" spans="2:8" ht="17.25" x14ac:dyDescent="0.25">
      <c r="B274" s="1"/>
      <c r="C274" s="270" t="s">
        <v>301</v>
      </c>
      <c r="D274" s="161">
        <v>565.16817850972461</v>
      </c>
      <c r="E274" s="162">
        <f t="shared" si="3"/>
        <v>826.26926682708267</v>
      </c>
      <c r="F274" s="161">
        <v>1.3</v>
      </c>
      <c r="G274" s="272" t="s">
        <v>980</v>
      </c>
      <c r="H274" s="1"/>
    </row>
    <row r="275" spans="2:8" ht="17.25" x14ac:dyDescent="0.25">
      <c r="B275" s="1"/>
      <c r="C275" s="270" t="s">
        <v>302</v>
      </c>
      <c r="D275" s="161">
        <v>681.90840293986696</v>
      </c>
      <c r="E275" s="162">
        <f t="shared" si="3"/>
        <v>996.94210956120889</v>
      </c>
      <c r="F275" s="161">
        <v>1.3</v>
      </c>
      <c r="G275" s="272" t="s">
        <v>980</v>
      </c>
      <c r="H275" s="1"/>
    </row>
    <row r="276" spans="2:8" ht="17.25" x14ac:dyDescent="0.25">
      <c r="B276" s="1"/>
      <c r="C276" s="270" t="s">
        <v>303</v>
      </c>
      <c r="D276" s="161">
        <v>684.16006898970647</v>
      </c>
      <c r="E276" s="162">
        <f t="shared" ref="E276:E339" si="4">D276/0.684</f>
        <v>1000.2340189907989</v>
      </c>
      <c r="F276" s="161">
        <v>1.3</v>
      </c>
      <c r="G276" s="272" t="s">
        <v>980</v>
      </c>
      <c r="H276" s="1"/>
    </row>
    <row r="277" spans="2:8" ht="17.25" x14ac:dyDescent="0.25">
      <c r="B277" s="1"/>
      <c r="C277" s="270" t="s">
        <v>304</v>
      </c>
      <c r="D277" s="161" t="s">
        <v>977</v>
      </c>
      <c r="E277" s="162"/>
      <c r="F277" s="161"/>
      <c r="G277" s="272" t="s">
        <v>980</v>
      </c>
      <c r="H277" s="1"/>
    </row>
    <row r="278" spans="2:8" ht="17.25" x14ac:dyDescent="0.25">
      <c r="B278" s="1"/>
      <c r="C278" s="270" t="s">
        <v>305</v>
      </c>
      <c r="D278" s="161">
        <v>446.00308294898588</v>
      </c>
      <c r="E278" s="162">
        <f t="shared" si="4"/>
        <v>652.05129086109037</v>
      </c>
      <c r="F278" s="161">
        <v>1.3</v>
      </c>
      <c r="G278" s="272" t="s">
        <v>980</v>
      </c>
      <c r="H278" s="1"/>
    </row>
    <row r="279" spans="2:8" ht="17.25" x14ac:dyDescent="0.25">
      <c r="B279" s="1"/>
      <c r="C279" s="270" t="s">
        <v>306</v>
      </c>
      <c r="D279" s="161">
        <v>361.13259337811087</v>
      </c>
      <c r="E279" s="162">
        <f t="shared" si="4"/>
        <v>527.97162774577612</v>
      </c>
      <c r="F279" s="161">
        <v>1.3</v>
      </c>
      <c r="G279" s="272" t="s">
        <v>980</v>
      </c>
      <c r="H279" s="1"/>
    </row>
    <row r="280" spans="2:8" ht="17.25" x14ac:dyDescent="0.25">
      <c r="B280" s="1"/>
      <c r="C280" s="270" t="s">
        <v>307</v>
      </c>
      <c r="D280" s="161">
        <v>647.13921502872938</v>
      </c>
      <c r="E280" s="162">
        <f t="shared" si="4"/>
        <v>946.10996349229436</v>
      </c>
      <c r="F280" s="161">
        <v>1.3</v>
      </c>
      <c r="G280" s="272" t="s">
        <v>980</v>
      </c>
      <c r="H280" s="1"/>
    </row>
    <row r="281" spans="2:8" ht="17.25" x14ac:dyDescent="0.25">
      <c r="B281" s="1"/>
      <c r="C281" s="270" t="s">
        <v>308</v>
      </c>
      <c r="D281" s="161">
        <v>649.519052838329</v>
      </c>
      <c r="E281" s="162">
        <f t="shared" si="4"/>
        <v>949.58925853556866</v>
      </c>
      <c r="F281" s="161">
        <v>1.3</v>
      </c>
      <c r="G281" s="272" t="s">
        <v>980</v>
      </c>
      <c r="H281" s="1"/>
    </row>
    <row r="282" spans="2:8" ht="17.25" x14ac:dyDescent="0.25">
      <c r="B282" s="1"/>
      <c r="C282" s="270" t="s">
        <v>309</v>
      </c>
      <c r="D282" s="161">
        <v>510.95498823281878</v>
      </c>
      <c r="E282" s="162">
        <f t="shared" si="4"/>
        <v>747.0102167146473</v>
      </c>
      <c r="F282" s="161">
        <v>1.3</v>
      </c>
      <c r="G282" s="272" t="s">
        <v>980</v>
      </c>
      <c r="H282" s="1"/>
    </row>
    <row r="283" spans="2:8" ht="17.25" x14ac:dyDescent="0.25">
      <c r="B283" s="1"/>
      <c r="C283" s="270" t="s">
        <v>310</v>
      </c>
      <c r="D283" s="161">
        <v>602.75368103396931</v>
      </c>
      <c r="E283" s="162">
        <f t="shared" si="4"/>
        <v>881.21883192100768</v>
      </c>
      <c r="F283" s="161">
        <v>1.3</v>
      </c>
      <c r="G283" s="272" t="s">
        <v>980</v>
      </c>
      <c r="H283" s="1"/>
    </row>
    <row r="284" spans="2:8" ht="17.25" x14ac:dyDescent="0.25">
      <c r="B284" s="1"/>
      <c r="C284" s="270" t="s">
        <v>311</v>
      </c>
      <c r="D284" s="161">
        <v>505.75883581011215</v>
      </c>
      <c r="E284" s="162">
        <f t="shared" si="4"/>
        <v>739.41350264636276</v>
      </c>
      <c r="F284" s="161">
        <v>1.3</v>
      </c>
      <c r="G284" s="272" t="s">
        <v>980</v>
      </c>
      <c r="H284" s="1"/>
    </row>
    <row r="285" spans="2:8" ht="17.25" x14ac:dyDescent="0.25">
      <c r="B285" s="1"/>
      <c r="C285" s="270" t="s">
        <v>312</v>
      </c>
      <c r="D285" s="161">
        <v>681.90840293986696</v>
      </c>
      <c r="E285" s="162">
        <f t="shared" si="4"/>
        <v>996.94210956120889</v>
      </c>
      <c r="F285" s="161">
        <v>1.3</v>
      </c>
      <c r="G285" s="272" t="s">
        <v>980</v>
      </c>
      <c r="H285" s="1"/>
    </row>
    <row r="286" spans="2:8" ht="17.25" x14ac:dyDescent="0.25">
      <c r="B286" s="1"/>
      <c r="C286" s="270" t="s">
        <v>313</v>
      </c>
      <c r="D286" s="161">
        <v>352.29913425950963</v>
      </c>
      <c r="E286" s="162">
        <f t="shared" si="4"/>
        <v>515.05721382969239</v>
      </c>
      <c r="F286" s="161">
        <v>1.3</v>
      </c>
      <c r="G286" s="272" t="s">
        <v>980</v>
      </c>
      <c r="H286" s="1"/>
    </row>
    <row r="287" spans="2:8" ht="17.25" x14ac:dyDescent="0.25">
      <c r="B287" s="1"/>
      <c r="C287" s="270" t="s">
        <v>314</v>
      </c>
      <c r="D287" s="161">
        <v>360.26656797432645</v>
      </c>
      <c r="E287" s="162">
        <f t="shared" si="4"/>
        <v>526.70550873439538</v>
      </c>
      <c r="F287" s="161">
        <v>1.3</v>
      </c>
      <c r="G287" s="272" t="s">
        <v>980</v>
      </c>
      <c r="H287" s="1"/>
    </row>
    <row r="288" spans="2:8" ht="17.25" x14ac:dyDescent="0.25">
      <c r="B288" s="1"/>
      <c r="C288" s="270" t="s">
        <v>315</v>
      </c>
      <c r="D288" s="161">
        <v>562.9165124598851</v>
      </c>
      <c r="E288" s="162">
        <f t="shared" si="4"/>
        <v>822.97735739749282</v>
      </c>
      <c r="F288" s="161">
        <v>1.3</v>
      </c>
      <c r="G288" s="272" t="s">
        <v>980</v>
      </c>
      <c r="H288" s="1"/>
    </row>
    <row r="289" spans="2:8" ht="17.25" x14ac:dyDescent="0.25">
      <c r="B289" s="1"/>
      <c r="C289" s="270" t="s">
        <v>316</v>
      </c>
      <c r="D289" s="161">
        <v>610.72111474878614</v>
      </c>
      <c r="E289" s="162">
        <f t="shared" si="4"/>
        <v>892.86712682571067</v>
      </c>
      <c r="F289" s="161">
        <v>1.3</v>
      </c>
      <c r="G289" s="272" t="s">
        <v>980</v>
      </c>
      <c r="H289" s="1"/>
    </row>
    <row r="290" spans="2:8" ht="17.25" x14ac:dyDescent="0.25">
      <c r="B290" s="1"/>
      <c r="C290" s="270" t="s">
        <v>317</v>
      </c>
      <c r="D290" s="161">
        <v>440.4605203647655</v>
      </c>
      <c r="E290" s="162">
        <f t="shared" si="4"/>
        <v>643.94812918825357</v>
      </c>
      <c r="F290" s="161">
        <v>1.3</v>
      </c>
      <c r="G290" s="272" t="s">
        <v>980</v>
      </c>
      <c r="H290" s="1"/>
    </row>
    <row r="291" spans="2:8" ht="17.25" x14ac:dyDescent="0.25">
      <c r="B291" s="1"/>
      <c r="C291" s="270" t="s">
        <v>318</v>
      </c>
      <c r="D291" s="161">
        <v>681.90840293986696</v>
      </c>
      <c r="E291" s="162">
        <f t="shared" si="4"/>
        <v>996.94210956120889</v>
      </c>
      <c r="F291" s="161">
        <v>1.3</v>
      </c>
      <c r="G291" s="272" t="s">
        <v>980</v>
      </c>
      <c r="H291" s="1"/>
    </row>
    <row r="292" spans="2:8" ht="17.25" x14ac:dyDescent="0.25">
      <c r="B292" s="1"/>
      <c r="C292" s="270" t="s">
        <v>319</v>
      </c>
      <c r="D292" s="161">
        <v>440.4605203647655</v>
      </c>
      <c r="E292" s="162">
        <f t="shared" si="4"/>
        <v>643.94812918825357</v>
      </c>
      <c r="F292" s="161">
        <v>1.3</v>
      </c>
      <c r="G292" s="272" t="s">
        <v>980</v>
      </c>
      <c r="H292" s="1"/>
    </row>
    <row r="293" spans="2:8" ht="17.25" x14ac:dyDescent="0.25">
      <c r="B293" s="1"/>
      <c r="C293" s="270" t="s">
        <v>320</v>
      </c>
      <c r="D293" s="161">
        <v>440.4605203647655</v>
      </c>
      <c r="E293" s="162">
        <f t="shared" si="4"/>
        <v>643.94812918825357</v>
      </c>
      <c r="F293" s="161">
        <v>1.3</v>
      </c>
      <c r="G293" s="272" t="s">
        <v>980</v>
      </c>
      <c r="H293" s="1"/>
    </row>
    <row r="294" spans="2:8" ht="17.25" x14ac:dyDescent="0.25">
      <c r="B294" s="1"/>
      <c r="C294" s="270" t="s">
        <v>321</v>
      </c>
      <c r="D294" s="161">
        <v>564.64856326745394</v>
      </c>
      <c r="E294" s="162">
        <f t="shared" si="4"/>
        <v>825.50959542025419</v>
      </c>
      <c r="F294" s="161">
        <v>1.3</v>
      </c>
      <c r="G294" s="272" t="s">
        <v>980</v>
      </c>
      <c r="H294" s="1"/>
    </row>
    <row r="295" spans="2:8" ht="17.25" x14ac:dyDescent="0.25">
      <c r="B295" s="1"/>
      <c r="C295" s="270" t="s">
        <v>322</v>
      </c>
      <c r="D295" s="161">
        <v>681.90840293986696</v>
      </c>
      <c r="E295" s="162">
        <f t="shared" si="4"/>
        <v>996.94210956120889</v>
      </c>
      <c r="F295" s="161">
        <v>1.3</v>
      </c>
      <c r="G295" s="272" t="s">
        <v>980</v>
      </c>
      <c r="H295" s="1"/>
    </row>
    <row r="296" spans="2:8" ht="17.25" x14ac:dyDescent="0.25">
      <c r="B296" s="1"/>
      <c r="C296" s="270" t="s">
        <v>323</v>
      </c>
      <c r="D296" s="161">
        <v>565.16817850972461</v>
      </c>
      <c r="E296" s="162">
        <f t="shared" si="4"/>
        <v>826.26926682708267</v>
      </c>
      <c r="F296" s="161">
        <v>6.7</v>
      </c>
      <c r="G296" s="272" t="s">
        <v>980</v>
      </c>
      <c r="H296" s="1"/>
    </row>
    <row r="297" spans="2:8" ht="17.25" x14ac:dyDescent="0.25">
      <c r="B297" s="1"/>
      <c r="C297" s="270" t="s">
        <v>324</v>
      </c>
      <c r="D297" s="161">
        <v>187.2</v>
      </c>
      <c r="E297" s="162">
        <f t="shared" si="4"/>
        <v>273.68421052631572</v>
      </c>
      <c r="F297" s="161">
        <v>15.9</v>
      </c>
      <c r="G297" s="272" t="s">
        <v>983</v>
      </c>
      <c r="H297" s="1"/>
    </row>
    <row r="298" spans="2:8" ht="17.25" x14ac:dyDescent="0.25">
      <c r="B298" s="1"/>
      <c r="C298" s="270" t="s">
        <v>325</v>
      </c>
      <c r="D298" s="161">
        <v>150</v>
      </c>
      <c r="E298" s="162">
        <f t="shared" si="4"/>
        <v>219.29824561403507</v>
      </c>
      <c r="F298" s="161">
        <v>15.9</v>
      </c>
      <c r="G298" s="272" t="s">
        <v>983</v>
      </c>
      <c r="H298" s="1"/>
    </row>
    <row r="299" spans="2:8" ht="17.25" x14ac:dyDescent="0.25">
      <c r="B299" s="1"/>
      <c r="C299" s="270" t="s">
        <v>326</v>
      </c>
      <c r="D299" s="161">
        <v>116.5</v>
      </c>
      <c r="E299" s="162">
        <f t="shared" si="4"/>
        <v>170.32163742690057</v>
      </c>
      <c r="F299" s="161">
        <v>15.9</v>
      </c>
      <c r="G299" s="272" t="s">
        <v>983</v>
      </c>
      <c r="H299" s="1"/>
    </row>
    <row r="300" spans="2:8" ht="17.25" x14ac:dyDescent="0.25">
      <c r="B300" s="1"/>
      <c r="C300" s="270" t="s">
        <v>327</v>
      </c>
      <c r="D300" s="161">
        <v>150.24029752366707</v>
      </c>
      <c r="E300" s="162">
        <f t="shared" si="4"/>
        <v>219.64955778313896</v>
      </c>
      <c r="F300" s="161">
        <v>15.9</v>
      </c>
      <c r="G300" s="272" t="s">
        <v>983</v>
      </c>
      <c r="H300" s="1"/>
    </row>
    <row r="301" spans="2:8" ht="17.25" x14ac:dyDescent="0.25">
      <c r="B301" s="1"/>
      <c r="C301" s="270" t="s">
        <v>328</v>
      </c>
      <c r="D301" s="161">
        <v>116.33627121409728</v>
      </c>
      <c r="E301" s="162">
        <f t="shared" si="4"/>
        <v>170.08226785686736</v>
      </c>
      <c r="F301" s="161">
        <v>15.9</v>
      </c>
      <c r="G301" s="272" t="s">
        <v>983</v>
      </c>
      <c r="H301" s="1"/>
    </row>
    <row r="302" spans="2:8" ht="17.25" x14ac:dyDescent="0.25">
      <c r="B302" s="1"/>
      <c r="C302" s="270" t="s">
        <v>329</v>
      </c>
      <c r="D302" s="161">
        <v>186.66384759776059</v>
      </c>
      <c r="E302" s="162">
        <f t="shared" si="4"/>
        <v>272.90036198503009</v>
      </c>
      <c r="F302" s="161">
        <v>15.9</v>
      </c>
      <c r="G302" s="272" t="s">
        <v>983</v>
      </c>
      <c r="H302" s="1"/>
    </row>
    <row r="303" spans="2:8" ht="17.25" x14ac:dyDescent="0.25">
      <c r="B303" s="1"/>
      <c r="C303" s="270" t="s">
        <v>330</v>
      </c>
      <c r="D303" s="161">
        <v>150</v>
      </c>
      <c r="E303" s="162">
        <f t="shared" si="4"/>
        <v>219.29824561403507</v>
      </c>
      <c r="F303" s="161">
        <v>15.9</v>
      </c>
      <c r="G303" s="272" t="s">
        <v>983</v>
      </c>
      <c r="H303" s="1"/>
    </row>
    <row r="304" spans="2:8" ht="17.25" x14ac:dyDescent="0.25">
      <c r="B304" s="1"/>
      <c r="C304" s="270" t="s">
        <v>331</v>
      </c>
      <c r="D304" s="161">
        <v>116.5</v>
      </c>
      <c r="E304" s="162">
        <f t="shared" si="4"/>
        <v>170.32163742690057</v>
      </c>
      <c r="F304" s="161">
        <v>15.9</v>
      </c>
      <c r="G304" s="272" t="s">
        <v>983</v>
      </c>
      <c r="H304" s="1"/>
    </row>
    <row r="305" spans="2:8" ht="17.25" x14ac:dyDescent="0.25">
      <c r="B305" s="1"/>
      <c r="C305" s="270" t="s">
        <v>332</v>
      </c>
      <c r="D305" s="161"/>
      <c r="E305" s="162"/>
      <c r="F305" s="161"/>
      <c r="G305" s="272" t="s">
        <v>983</v>
      </c>
      <c r="H305" s="1"/>
    </row>
    <row r="306" spans="2:8" ht="17.25" x14ac:dyDescent="0.25">
      <c r="B306" s="1"/>
      <c r="C306" s="270" t="s">
        <v>333</v>
      </c>
      <c r="D306" s="161">
        <v>108.57153299911437</v>
      </c>
      <c r="E306" s="162">
        <f t="shared" si="4"/>
        <v>158.73031140221397</v>
      </c>
      <c r="F306" s="161">
        <v>14.5</v>
      </c>
      <c r="G306" s="272" t="s">
        <v>983</v>
      </c>
      <c r="H306" s="1"/>
    </row>
    <row r="307" spans="2:8" ht="17.25" x14ac:dyDescent="0.25">
      <c r="B307" s="1"/>
      <c r="C307" s="270" t="s">
        <v>334</v>
      </c>
      <c r="D307" s="161">
        <v>150</v>
      </c>
      <c r="E307" s="162">
        <f t="shared" si="4"/>
        <v>219.29824561403507</v>
      </c>
      <c r="F307" s="161">
        <v>15.9</v>
      </c>
      <c r="G307" s="272" t="s">
        <v>983</v>
      </c>
      <c r="H307" s="1"/>
    </row>
    <row r="308" spans="2:8" ht="17.25" x14ac:dyDescent="0.25">
      <c r="B308" s="1"/>
      <c r="C308" s="270" t="s">
        <v>335</v>
      </c>
      <c r="D308" s="161">
        <v>186.66384759776059</v>
      </c>
      <c r="E308" s="162">
        <f t="shared" si="4"/>
        <v>272.90036198503009</v>
      </c>
      <c r="F308" s="161">
        <v>15.9</v>
      </c>
      <c r="G308" s="272" t="s">
        <v>983</v>
      </c>
      <c r="H308" s="1"/>
    </row>
    <row r="309" spans="2:8" ht="17.25" x14ac:dyDescent="0.25">
      <c r="B309" s="1"/>
      <c r="C309" s="270" t="s">
        <v>336</v>
      </c>
      <c r="D309" s="161">
        <v>150</v>
      </c>
      <c r="E309" s="162">
        <f t="shared" si="4"/>
        <v>219.29824561403507</v>
      </c>
      <c r="F309" s="161">
        <v>15.9</v>
      </c>
      <c r="G309" s="272" t="s">
        <v>983</v>
      </c>
      <c r="H309" s="1"/>
    </row>
    <row r="310" spans="2:8" ht="17.25" x14ac:dyDescent="0.25">
      <c r="B310" s="1"/>
      <c r="C310" s="270" t="s">
        <v>337</v>
      </c>
      <c r="D310" s="161">
        <v>116.5</v>
      </c>
      <c r="E310" s="162">
        <f t="shared" si="4"/>
        <v>170.32163742690057</v>
      </c>
      <c r="F310" s="161">
        <v>15.9</v>
      </c>
      <c r="G310" s="272" t="s">
        <v>983</v>
      </c>
      <c r="H310" s="1"/>
    </row>
    <row r="311" spans="2:8" ht="17.25" x14ac:dyDescent="0.25">
      <c r="B311" s="1"/>
      <c r="C311" s="270" t="s">
        <v>338</v>
      </c>
      <c r="D311" s="161">
        <v>116.33627121409728</v>
      </c>
      <c r="E311" s="162">
        <f t="shared" si="4"/>
        <v>170.08226785686736</v>
      </c>
      <c r="F311" s="161">
        <v>15.9</v>
      </c>
      <c r="G311" s="272" t="s">
        <v>983</v>
      </c>
      <c r="H311" s="1"/>
    </row>
    <row r="312" spans="2:8" ht="17.25" x14ac:dyDescent="0.25">
      <c r="B312" s="1"/>
      <c r="C312" s="270" t="s">
        <v>339</v>
      </c>
      <c r="D312" s="161">
        <v>149.52829916106182</v>
      </c>
      <c r="E312" s="162">
        <f t="shared" si="4"/>
        <v>218.60862450447632</v>
      </c>
      <c r="F312" s="161">
        <v>14.5</v>
      </c>
      <c r="G312" s="272" t="s">
        <v>983</v>
      </c>
      <c r="H312" s="1"/>
    </row>
    <row r="313" spans="2:8" ht="17.25" x14ac:dyDescent="0.25">
      <c r="B313" s="1"/>
      <c r="C313" s="270" t="s">
        <v>340</v>
      </c>
      <c r="D313" s="161">
        <v>116.5</v>
      </c>
      <c r="E313" s="162">
        <f t="shared" si="4"/>
        <v>170.32163742690057</v>
      </c>
      <c r="F313" s="161">
        <v>15.9</v>
      </c>
      <c r="G313" s="272" t="s">
        <v>983</v>
      </c>
      <c r="H313" s="1"/>
    </row>
    <row r="314" spans="2:8" ht="17.25" x14ac:dyDescent="0.25">
      <c r="B314" s="1"/>
      <c r="C314" s="270" t="s">
        <v>341</v>
      </c>
      <c r="D314" s="161">
        <v>116.5</v>
      </c>
      <c r="E314" s="162">
        <f t="shared" si="4"/>
        <v>170.32163742690057</v>
      </c>
      <c r="F314" s="161">
        <v>15.9</v>
      </c>
      <c r="G314" s="272" t="s">
        <v>983</v>
      </c>
      <c r="H314" s="1"/>
    </row>
    <row r="315" spans="2:8" ht="17.25" x14ac:dyDescent="0.25">
      <c r="B315" s="1"/>
      <c r="C315" s="270" t="s">
        <v>342</v>
      </c>
      <c r="D315" s="161">
        <v>150.24029752366707</v>
      </c>
      <c r="E315" s="162">
        <f t="shared" si="4"/>
        <v>219.64955778313896</v>
      </c>
      <c r="F315" s="161">
        <v>15.9</v>
      </c>
      <c r="G315" s="272" t="s">
        <v>983</v>
      </c>
      <c r="H315" s="1"/>
    </row>
    <row r="316" spans="2:8" ht="17.25" x14ac:dyDescent="0.25">
      <c r="B316" s="1"/>
      <c r="C316" s="270" t="s">
        <v>343</v>
      </c>
      <c r="D316" s="161">
        <v>150.24029752366707</v>
      </c>
      <c r="E316" s="162">
        <f t="shared" si="4"/>
        <v>219.64955778313896</v>
      </c>
      <c r="F316" s="161">
        <v>15.9</v>
      </c>
      <c r="G316" s="272" t="s">
        <v>983</v>
      </c>
      <c r="H316" s="1"/>
    </row>
    <row r="317" spans="2:8" ht="17.25" x14ac:dyDescent="0.25">
      <c r="B317" s="1"/>
      <c r="C317" s="270" t="s">
        <v>344</v>
      </c>
      <c r="D317" s="161">
        <v>150.24029752366707</v>
      </c>
      <c r="E317" s="162">
        <f t="shared" si="4"/>
        <v>219.64955778313896</v>
      </c>
      <c r="F317" s="161">
        <v>15.9</v>
      </c>
      <c r="G317" s="272" t="s">
        <v>983</v>
      </c>
      <c r="H317" s="1"/>
    </row>
    <row r="318" spans="2:8" ht="17.25" x14ac:dyDescent="0.25">
      <c r="B318" s="1"/>
      <c r="C318" s="270" t="s">
        <v>345</v>
      </c>
      <c r="D318" s="161">
        <v>153.36231610144651</v>
      </c>
      <c r="E318" s="162">
        <f t="shared" si="4"/>
        <v>224.21391242901535</v>
      </c>
      <c r="F318" s="161">
        <v>14.5</v>
      </c>
      <c r="G318" s="272" t="s">
        <v>983</v>
      </c>
      <c r="H318" s="1"/>
    </row>
    <row r="319" spans="2:8" ht="17.25" x14ac:dyDescent="0.25">
      <c r="B319" s="1"/>
      <c r="C319" s="270" t="s">
        <v>346</v>
      </c>
      <c r="D319" s="161">
        <v>108.57153299911437</v>
      </c>
      <c r="E319" s="162">
        <f t="shared" si="4"/>
        <v>158.73031140221397</v>
      </c>
      <c r="F319" s="161">
        <v>14.5</v>
      </c>
      <c r="G319" s="272" t="s">
        <v>983</v>
      </c>
      <c r="H319" s="1"/>
    </row>
    <row r="320" spans="2:8" ht="17.25" x14ac:dyDescent="0.25">
      <c r="B320" s="1"/>
      <c r="C320" s="270" t="s">
        <v>347</v>
      </c>
      <c r="D320" s="161">
        <v>186.14747446581165</v>
      </c>
      <c r="E320" s="162">
        <f t="shared" si="4"/>
        <v>272.14543050557256</v>
      </c>
      <c r="F320" s="161">
        <v>14.5</v>
      </c>
      <c r="G320" s="272" t="s">
        <v>983</v>
      </c>
      <c r="H320" s="1"/>
    </row>
    <row r="321" spans="2:8" ht="17.25" x14ac:dyDescent="0.25">
      <c r="B321" s="1"/>
      <c r="C321" s="270" t="s">
        <v>348</v>
      </c>
      <c r="D321" s="161">
        <v>150</v>
      </c>
      <c r="E321" s="162">
        <f t="shared" si="4"/>
        <v>219.29824561403507</v>
      </c>
      <c r="F321" s="161">
        <v>15.9</v>
      </c>
      <c r="G321" s="272" t="s">
        <v>983</v>
      </c>
      <c r="H321" s="1"/>
    </row>
    <row r="322" spans="2:8" ht="17.25" x14ac:dyDescent="0.25">
      <c r="B322" s="1"/>
      <c r="C322" s="270" t="s">
        <v>349</v>
      </c>
      <c r="D322" s="161">
        <v>151.40437315522402</v>
      </c>
      <c r="E322" s="162">
        <f t="shared" si="4"/>
        <v>221.35142274155558</v>
      </c>
      <c r="F322" s="161">
        <v>15.9</v>
      </c>
      <c r="G322" s="272" t="s">
        <v>983</v>
      </c>
      <c r="H322" s="1"/>
    </row>
    <row r="323" spans="2:8" ht="17.25" x14ac:dyDescent="0.25">
      <c r="B323" s="1"/>
      <c r="C323" s="270" t="s">
        <v>350</v>
      </c>
      <c r="D323" s="161">
        <v>151.40437315522402</v>
      </c>
      <c r="E323" s="162">
        <f t="shared" si="4"/>
        <v>221.35142274155558</v>
      </c>
      <c r="F323" s="161">
        <v>15.9</v>
      </c>
      <c r="G323" s="272" t="s">
        <v>983</v>
      </c>
      <c r="H323" s="1"/>
    </row>
    <row r="324" spans="2:8" ht="17.25" x14ac:dyDescent="0.25">
      <c r="B324" s="1"/>
      <c r="C324" s="270" t="s">
        <v>351</v>
      </c>
      <c r="D324" s="161">
        <v>150.24029752366707</v>
      </c>
      <c r="E324" s="162">
        <f t="shared" si="4"/>
        <v>219.64955778313896</v>
      </c>
      <c r="F324" s="161">
        <v>15.9</v>
      </c>
      <c r="G324" s="272" t="s">
        <v>983</v>
      </c>
      <c r="H324" s="1"/>
    </row>
    <row r="325" spans="2:8" ht="17.25" x14ac:dyDescent="0.25">
      <c r="B325" s="1"/>
      <c r="C325" s="270" t="s">
        <v>352</v>
      </c>
      <c r="D325" s="161">
        <v>149.71448386846208</v>
      </c>
      <c r="E325" s="162">
        <f t="shared" si="4"/>
        <v>218.88082436909659</v>
      </c>
      <c r="F325" s="161">
        <v>15.9</v>
      </c>
      <c r="G325" s="272" t="s">
        <v>983</v>
      </c>
      <c r="H325" s="1"/>
    </row>
    <row r="326" spans="2:8" ht="17.25" x14ac:dyDescent="0.25">
      <c r="B326" s="1"/>
      <c r="C326" s="270" t="s">
        <v>353</v>
      </c>
      <c r="D326" s="161">
        <v>236.66</v>
      </c>
      <c r="E326" s="162">
        <f t="shared" si="4"/>
        <v>345.9941520467836</v>
      </c>
      <c r="F326" s="161">
        <v>15.9</v>
      </c>
      <c r="G326" s="272" t="s">
        <v>983</v>
      </c>
      <c r="H326" s="1"/>
    </row>
    <row r="327" spans="2:8" ht="17.25" x14ac:dyDescent="0.25">
      <c r="B327" s="1"/>
      <c r="C327" s="270" t="s">
        <v>354</v>
      </c>
      <c r="D327" s="161">
        <v>236.66</v>
      </c>
      <c r="E327" s="162">
        <f t="shared" si="4"/>
        <v>345.9941520467836</v>
      </c>
      <c r="F327" s="161">
        <v>15.9</v>
      </c>
      <c r="G327" s="272" t="s">
        <v>983</v>
      </c>
      <c r="H327" s="1"/>
    </row>
    <row r="328" spans="2:8" ht="17.25" x14ac:dyDescent="0.25">
      <c r="B328" s="1"/>
      <c r="C328" s="270" t="s">
        <v>355</v>
      </c>
      <c r="D328" s="161">
        <v>117.40324685215725</v>
      </c>
      <c r="E328" s="162">
        <f t="shared" si="4"/>
        <v>171.64217376046381</v>
      </c>
      <c r="F328" s="161">
        <v>15.9</v>
      </c>
      <c r="G328" s="272" t="s">
        <v>983</v>
      </c>
      <c r="H328" s="1"/>
    </row>
    <row r="329" spans="2:8" ht="17.25" x14ac:dyDescent="0.25">
      <c r="B329" s="1"/>
      <c r="C329" s="270" t="s">
        <v>356</v>
      </c>
      <c r="D329" s="161">
        <v>150.26060219308511</v>
      </c>
      <c r="E329" s="162">
        <f t="shared" si="4"/>
        <v>219.67924297234663</v>
      </c>
      <c r="F329" s="161">
        <v>15.9</v>
      </c>
      <c r="G329" s="272" t="s">
        <v>983</v>
      </c>
      <c r="H329" s="1"/>
    </row>
    <row r="330" spans="2:8" ht="17.25" x14ac:dyDescent="0.25">
      <c r="B330" s="1"/>
      <c r="C330" s="270" t="s">
        <v>357</v>
      </c>
      <c r="D330" s="161">
        <v>150</v>
      </c>
      <c r="E330" s="162">
        <f t="shared" si="4"/>
        <v>219.29824561403507</v>
      </c>
      <c r="F330" s="161">
        <v>14.5</v>
      </c>
      <c r="G330" s="272" t="s">
        <v>983</v>
      </c>
      <c r="H330" s="1"/>
    </row>
    <row r="331" spans="2:8" ht="17.25" x14ac:dyDescent="0.25">
      <c r="B331" s="1"/>
      <c r="C331" s="270" t="s">
        <v>358</v>
      </c>
      <c r="D331" s="161">
        <v>150</v>
      </c>
      <c r="E331" s="162">
        <f t="shared" si="4"/>
        <v>219.29824561403507</v>
      </c>
      <c r="F331" s="161">
        <v>15.9</v>
      </c>
      <c r="G331" s="272" t="s">
        <v>983</v>
      </c>
      <c r="H331" s="1"/>
    </row>
    <row r="332" spans="2:8" ht="17.25" x14ac:dyDescent="0.25">
      <c r="B332" s="1"/>
      <c r="C332" s="270" t="s">
        <v>359</v>
      </c>
      <c r="D332" s="161">
        <v>188</v>
      </c>
      <c r="E332" s="162">
        <f t="shared" si="4"/>
        <v>274.85380116959061</v>
      </c>
      <c r="F332" s="161">
        <v>15.9</v>
      </c>
      <c r="G332" s="272" t="s">
        <v>983</v>
      </c>
      <c r="H332" s="1"/>
    </row>
    <row r="333" spans="2:8" ht="17.25" x14ac:dyDescent="0.25">
      <c r="B333" s="1"/>
      <c r="C333" s="270" t="s">
        <v>360</v>
      </c>
      <c r="D333" s="161">
        <v>163.5</v>
      </c>
      <c r="E333" s="162">
        <f t="shared" si="4"/>
        <v>239.03508771929822</v>
      </c>
      <c r="F333" s="161">
        <v>14.5</v>
      </c>
      <c r="G333" s="272" t="s">
        <v>983</v>
      </c>
      <c r="H333" s="1"/>
    </row>
    <row r="334" spans="2:8" ht="17.25" x14ac:dyDescent="0.25">
      <c r="B334" s="1"/>
      <c r="C334" s="270" t="s">
        <v>361</v>
      </c>
      <c r="D334" s="161">
        <v>216</v>
      </c>
      <c r="E334" s="162">
        <f t="shared" si="4"/>
        <v>315.78947368421052</v>
      </c>
      <c r="F334" s="161">
        <v>14.5</v>
      </c>
      <c r="G334" s="272" t="s">
        <v>983</v>
      </c>
      <c r="H334" s="1"/>
    </row>
    <row r="335" spans="2:8" ht="17.25" x14ac:dyDescent="0.25">
      <c r="B335" s="1"/>
      <c r="C335" s="270" t="s">
        <v>362</v>
      </c>
      <c r="D335" s="161">
        <v>150</v>
      </c>
      <c r="E335" s="162">
        <f t="shared" si="4"/>
        <v>219.29824561403507</v>
      </c>
      <c r="F335" s="161">
        <v>15.9</v>
      </c>
      <c r="G335" s="272" t="s">
        <v>983</v>
      </c>
      <c r="H335" s="1"/>
    </row>
    <row r="336" spans="2:8" ht="17.25" x14ac:dyDescent="0.25">
      <c r="B336" s="1"/>
      <c r="C336" s="270" t="s">
        <v>363</v>
      </c>
      <c r="D336" s="161">
        <v>116.33627121409728</v>
      </c>
      <c r="E336" s="162">
        <f t="shared" si="4"/>
        <v>170.08226785686736</v>
      </c>
      <c r="F336" s="161">
        <v>15.9</v>
      </c>
      <c r="G336" s="272" t="s">
        <v>983</v>
      </c>
      <c r="H336" s="1"/>
    </row>
    <row r="337" spans="2:8" ht="17.25" x14ac:dyDescent="0.25">
      <c r="B337" s="1"/>
      <c r="C337" s="270" t="s">
        <v>364</v>
      </c>
      <c r="D337" s="161">
        <v>170.4</v>
      </c>
      <c r="E337" s="162">
        <f t="shared" si="4"/>
        <v>249.12280701754383</v>
      </c>
      <c r="F337" s="161">
        <v>15.9</v>
      </c>
      <c r="G337" s="272" t="s">
        <v>983</v>
      </c>
      <c r="H337" s="1"/>
    </row>
    <row r="338" spans="2:8" ht="17.25" x14ac:dyDescent="0.25">
      <c r="B338" s="1"/>
      <c r="C338" s="270" t="s">
        <v>365</v>
      </c>
      <c r="D338" s="161">
        <v>108.57153299911437</v>
      </c>
      <c r="E338" s="162">
        <f t="shared" si="4"/>
        <v>158.73031140221397</v>
      </c>
      <c r="F338" s="161">
        <v>14.5</v>
      </c>
      <c r="G338" s="272" t="s">
        <v>983</v>
      </c>
      <c r="H338" s="1"/>
    </row>
    <row r="339" spans="2:8" ht="17.25" x14ac:dyDescent="0.25">
      <c r="B339" s="1"/>
      <c r="C339" s="270" t="s">
        <v>366</v>
      </c>
      <c r="D339" s="161">
        <v>150.22934307251694</v>
      </c>
      <c r="E339" s="162">
        <f t="shared" si="4"/>
        <v>219.63354250367971</v>
      </c>
      <c r="F339" s="161">
        <v>15.9</v>
      </c>
      <c r="G339" s="272" t="s">
        <v>983</v>
      </c>
      <c r="H339" s="1"/>
    </row>
    <row r="340" spans="2:8" ht="17.25" x14ac:dyDescent="0.25">
      <c r="B340" s="1"/>
      <c r="C340" s="270" t="s">
        <v>367</v>
      </c>
      <c r="D340" s="161">
        <v>116.4977373170827</v>
      </c>
      <c r="E340" s="162">
        <f t="shared" ref="E340:E401" si="5">D340/0.684</f>
        <v>170.31832941093961</v>
      </c>
      <c r="F340" s="161">
        <v>15.9</v>
      </c>
      <c r="G340" s="272" t="s">
        <v>983</v>
      </c>
      <c r="H340" s="1"/>
    </row>
    <row r="341" spans="2:8" ht="17.25" x14ac:dyDescent="0.25">
      <c r="B341" s="1"/>
      <c r="C341" s="270" t="s">
        <v>368</v>
      </c>
      <c r="D341" s="161">
        <v>186.05</v>
      </c>
      <c r="E341" s="162">
        <f t="shared" si="5"/>
        <v>272.0029239766082</v>
      </c>
      <c r="F341" s="161">
        <v>14.5</v>
      </c>
      <c r="G341" s="272" t="s">
        <v>983</v>
      </c>
      <c r="H341" s="1"/>
    </row>
    <row r="342" spans="2:8" ht="17.25" x14ac:dyDescent="0.25">
      <c r="B342" s="1"/>
      <c r="C342" s="270" t="s">
        <v>369</v>
      </c>
      <c r="D342" s="161">
        <v>227.68399153212331</v>
      </c>
      <c r="E342" s="162">
        <f t="shared" si="5"/>
        <v>332.87133264930304</v>
      </c>
      <c r="F342" s="161">
        <v>14.5</v>
      </c>
      <c r="G342" s="272" t="s">
        <v>983</v>
      </c>
      <c r="H342" s="1"/>
    </row>
    <row r="343" spans="2:8" ht="17.25" x14ac:dyDescent="0.25">
      <c r="B343" s="1"/>
      <c r="C343" s="270" t="s">
        <v>370</v>
      </c>
      <c r="D343" s="161">
        <v>150</v>
      </c>
      <c r="E343" s="162">
        <f t="shared" si="5"/>
        <v>219.29824561403507</v>
      </c>
      <c r="F343" s="161">
        <v>15.9</v>
      </c>
      <c r="G343" s="272" t="s">
        <v>983</v>
      </c>
      <c r="H343" s="1"/>
    </row>
    <row r="344" spans="2:8" ht="17.25" x14ac:dyDescent="0.25">
      <c r="B344" s="1"/>
      <c r="C344" s="270" t="s">
        <v>371</v>
      </c>
      <c r="D344" s="161">
        <v>187.2</v>
      </c>
      <c r="E344" s="162">
        <f t="shared" si="5"/>
        <v>273.68421052631572</v>
      </c>
      <c r="F344" s="161">
        <v>15.9</v>
      </c>
      <c r="G344" s="272" t="s">
        <v>983</v>
      </c>
      <c r="H344" s="1"/>
    </row>
    <row r="345" spans="2:8" ht="17.25" x14ac:dyDescent="0.25">
      <c r="B345" s="1"/>
      <c r="C345" s="270" t="s">
        <v>372</v>
      </c>
      <c r="D345" s="161">
        <v>184.78242460917232</v>
      </c>
      <c r="E345" s="162">
        <f t="shared" si="5"/>
        <v>270.14974358066127</v>
      </c>
      <c r="F345" s="161">
        <v>14.5</v>
      </c>
      <c r="G345" s="272" t="s">
        <v>983</v>
      </c>
      <c r="H345" s="1"/>
    </row>
    <row r="346" spans="2:8" ht="17.25" x14ac:dyDescent="0.25">
      <c r="B346" s="1"/>
      <c r="C346" s="270" t="s">
        <v>373</v>
      </c>
      <c r="D346" s="161">
        <v>150</v>
      </c>
      <c r="E346" s="162">
        <f t="shared" si="5"/>
        <v>219.29824561403507</v>
      </c>
      <c r="F346" s="161">
        <v>15.9</v>
      </c>
      <c r="G346" s="272" t="s">
        <v>983</v>
      </c>
      <c r="H346" s="1"/>
    </row>
    <row r="347" spans="2:8" ht="17.25" x14ac:dyDescent="0.25">
      <c r="B347" s="1"/>
      <c r="C347" s="270" t="s">
        <v>374</v>
      </c>
      <c r="D347" s="161">
        <v>186.66384759776059</v>
      </c>
      <c r="E347" s="162">
        <f t="shared" si="5"/>
        <v>272.90036198503009</v>
      </c>
      <c r="F347" s="161">
        <v>15.9</v>
      </c>
      <c r="G347" s="272" t="s">
        <v>983</v>
      </c>
      <c r="H347" s="1"/>
    </row>
    <row r="348" spans="2:8" ht="17.25" x14ac:dyDescent="0.25">
      <c r="B348" s="1"/>
      <c r="C348" s="270" t="s">
        <v>375</v>
      </c>
      <c r="D348" s="161">
        <v>150</v>
      </c>
      <c r="E348" s="162">
        <f t="shared" si="5"/>
        <v>219.29824561403507</v>
      </c>
      <c r="F348" s="161">
        <v>15.9</v>
      </c>
      <c r="G348" s="272" t="s">
        <v>983</v>
      </c>
      <c r="H348" s="1"/>
    </row>
    <row r="349" spans="2:8" ht="17.25" x14ac:dyDescent="0.25">
      <c r="B349" s="1"/>
      <c r="C349" s="270" t="s">
        <v>376</v>
      </c>
      <c r="D349" s="161">
        <v>147.80000000000001</v>
      </c>
      <c r="E349" s="162">
        <f t="shared" si="5"/>
        <v>216.08187134502924</v>
      </c>
      <c r="F349" s="161">
        <v>14.5</v>
      </c>
      <c r="G349" s="272" t="s">
        <v>983</v>
      </c>
      <c r="H349" s="1"/>
    </row>
    <row r="350" spans="2:8" ht="17.25" x14ac:dyDescent="0.25">
      <c r="B350" s="1"/>
      <c r="C350" s="270" t="s">
        <v>377</v>
      </c>
      <c r="D350" s="161">
        <v>150</v>
      </c>
      <c r="E350" s="162">
        <f t="shared" si="5"/>
        <v>219.29824561403507</v>
      </c>
      <c r="F350" s="161">
        <v>15.9</v>
      </c>
      <c r="G350" s="272" t="s">
        <v>983</v>
      </c>
      <c r="H350" s="1"/>
    </row>
    <row r="351" spans="2:8" ht="17.25" x14ac:dyDescent="0.25">
      <c r="B351" s="1"/>
      <c r="C351" s="270" t="s">
        <v>378</v>
      </c>
      <c r="D351" s="161">
        <v>150</v>
      </c>
      <c r="E351" s="162">
        <f t="shared" si="5"/>
        <v>219.29824561403507</v>
      </c>
      <c r="F351" s="161">
        <v>15.9</v>
      </c>
      <c r="G351" s="272" t="s">
        <v>983</v>
      </c>
      <c r="H351" s="1"/>
    </row>
    <row r="352" spans="2:8" ht="17.25" x14ac:dyDescent="0.25">
      <c r="B352" s="1"/>
      <c r="C352" s="270" t="s">
        <v>379</v>
      </c>
      <c r="D352" s="161">
        <v>108.57153299911437</v>
      </c>
      <c r="E352" s="162">
        <f t="shared" si="5"/>
        <v>158.73031140221397</v>
      </c>
      <c r="F352" s="161">
        <v>14.5</v>
      </c>
      <c r="G352" s="272" t="s">
        <v>983</v>
      </c>
      <c r="H352" s="1"/>
    </row>
    <row r="353" spans="2:8" ht="17.25" x14ac:dyDescent="0.25">
      <c r="B353" s="1"/>
      <c r="C353" s="270" t="s">
        <v>380</v>
      </c>
      <c r="D353" s="161">
        <v>150</v>
      </c>
      <c r="E353" s="162">
        <f t="shared" si="5"/>
        <v>219.29824561403507</v>
      </c>
      <c r="F353" s="161">
        <v>15.9</v>
      </c>
      <c r="G353" s="272" t="s">
        <v>983</v>
      </c>
      <c r="H353" s="1"/>
    </row>
    <row r="354" spans="2:8" ht="17.25" x14ac:dyDescent="0.25">
      <c r="B354" s="1"/>
      <c r="C354" s="270" t="s">
        <v>381</v>
      </c>
      <c r="D354" s="161">
        <v>150</v>
      </c>
      <c r="E354" s="162">
        <f t="shared" si="5"/>
        <v>219.29824561403507</v>
      </c>
      <c r="F354" s="161">
        <v>14.5</v>
      </c>
      <c r="G354" s="272" t="s">
        <v>983</v>
      </c>
      <c r="H354" s="1"/>
    </row>
    <row r="355" spans="2:8" ht="17.25" x14ac:dyDescent="0.25">
      <c r="B355" s="1"/>
      <c r="C355" s="270" t="s">
        <v>382</v>
      </c>
      <c r="D355" s="161">
        <v>116.3</v>
      </c>
      <c r="E355" s="162">
        <f t="shared" si="5"/>
        <v>170.02923976608184</v>
      </c>
      <c r="F355" s="161">
        <v>15.9</v>
      </c>
      <c r="G355" s="272" t="s">
        <v>983</v>
      </c>
      <c r="H355" s="1"/>
    </row>
    <row r="356" spans="2:8" ht="17.25" x14ac:dyDescent="0.25">
      <c r="B356" s="1"/>
      <c r="C356" s="270" t="s">
        <v>383</v>
      </c>
      <c r="D356" s="161">
        <v>117</v>
      </c>
      <c r="E356" s="162">
        <f t="shared" si="5"/>
        <v>171.05263157894734</v>
      </c>
      <c r="F356" s="161">
        <v>15.9</v>
      </c>
      <c r="G356" s="272" t="s">
        <v>983</v>
      </c>
      <c r="H356" s="1"/>
    </row>
    <row r="357" spans="2:8" ht="17.25" x14ac:dyDescent="0.25">
      <c r="B357" s="1"/>
      <c r="C357" s="270" t="s">
        <v>384</v>
      </c>
      <c r="D357" s="161">
        <v>158.6</v>
      </c>
      <c r="E357" s="162">
        <f t="shared" si="5"/>
        <v>231.87134502923973</v>
      </c>
      <c r="F357" s="161">
        <v>14.5</v>
      </c>
      <c r="G357" s="272" t="s">
        <v>983</v>
      </c>
      <c r="H357" s="1"/>
    </row>
    <row r="358" spans="2:8" ht="17.25" x14ac:dyDescent="0.25">
      <c r="B358" s="1"/>
      <c r="C358" s="270" t="s">
        <v>385</v>
      </c>
      <c r="D358" s="161">
        <v>186.68797497428699</v>
      </c>
      <c r="E358" s="162">
        <f t="shared" si="5"/>
        <v>272.93563592732016</v>
      </c>
      <c r="F358" s="161">
        <v>15.9</v>
      </c>
      <c r="G358" s="272" t="s">
        <v>983</v>
      </c>
      <c r="H358" s="1"/>
    </row>
    <row r="359" spans="2:8" ht="17.25" x14ac:dyDescent="0.25">
      <c r="B359" s="1"/>
      <c r="C359" s="270" t="s">
        <v>386</v>
      </c>
      <c r="D359" s="161">
        <v>150</v>
      </c>
      <c r="E359" s="162">
        <f t="shared" si="5"/>
        <v>219.29824561403507</v>
      </c>
      <c r="F359" s="161">
        <v>15.9</v>
      </c>
      <c r="G359" s="272" t="s">
        <v>983</v>
      </c>
      <c r="H359" s="1"/>
    </row>
    <row r="360" spans="2:8" ht="17.25" x14ac:dyDescent="0.25">
      <c r="B360" s="1"/>
      <c r="C360" s="270" t="s">
        <v>387</v>
      </c>
      <c r="D360" s="161">
        <v>227.68399153212331</v>
      </c>
      <c r="E360" s="162">
        <f t="shared" si="5"/>
        <v>332.87133264930304</v>
      </c>
      <c r="F360" s="161">
        <v>14.5</v>
      </c>
      <c r="G360" s="272" t="s">
        <v>983</v>
      </c>
      <c r="H360" s="1"/>
    </row>
    <row r="361" spans="2:8" ht="17.25" x14ac:dyDescent="0.25">
      <c r="B361" s="1"/>
      <c r="C361" s="270" t="s">
        <v>388</v>
      </c>
      <c r="D361" s="161">
        <v>149.98285616315334</v>
      </c>
      <c r="E361" s="162">
        <f t="shared" si="5"/>
        <v>219.27318152507797</v>
      </c>
      <c r="F361" s="161">
        <v>14.5</v>
      </c>
      <c r="G361" s="272" t="s">
        <v>983</v>
      </c>
      <c r="H361" s="1"/>
    </row>
    <row r="362" spans="2:8" ht="17.25" x14ac:dyDescent="0.25">
      <c r="B362" s="1"/>
      <c r="C362" s="270" t="s">
        <v>389</v>
      </c>
      <c r="D362" s="161">
        <v>150</v>
      </c>
      <c r="E362" s="162">
        <f t="shared" si="5"/>
        <v>219.29824561403507</v>
      </c>
      <c r="F362" s="161">
        <v>15.9</v>
      </c>
      <c r="G362" s="272" t="s">
        <v>983</v>
      </c>
      <c r="H362" s="1"/>
    </row>
    <row r="363" spans="2:8" ht="17.25" x14ac:dyDescent="0.25">
      <c r="B363" s="1"/>
      <c r="C363" s="270" t="s">
        <v>390</v>
      </c>
      <c r="D363" s="161">
        <v>150</v>
      </c>
      <c r="E363" s="162">
        <f t="shared" si="5"/>
        <v>219.29824561403507</v>
      </c>
      <c r="F363" s="161">
        <v>15.9</v>
      </c>
      <c r="G363" s="272" t="s">
        <v>983</v>
      </c>
      <c r="H363" s="1"/>
    </row>
    <row r="364" spans="2:8" ht="17.25" x14ac:dyDescent="0.25">
      <c r="B364" s="1"/>
      <c r="C364" s="270" t="s">
        <v>391</v>
      </c>
      <c r="D364" s="161">
        <v>236.7</v>
      </c>
      <c r="E364" s="162">
        <f t="shared" si="5"/>
        <v>346.05263157894734</v>
      </c>
      <c r="F364" s="161">
        <v>15.9</v>
      </c>
      <c r="G364" s="272" t="s">
        <v>983</v>
      </c>
      <c r="H364" s="1"/>
    </row>
    <row r="365" spans="2:8" ht="17.25" x14ac:dyDescent="0.25">
      <c r="B365" s="1"/>
      <c r="C365" s="270" t="s">
        <v>392</v>
      </c>
      <c r="D365" s="161">
        <v>237</v>
      </c>
      <c r="E365" s="162">
        <f t="shared" si="5"/>
        <v>346.4912280701754</v>
      </c>
      <c r="F365" s="161">
        <v>14.5</v>
      </c>
      <c r="G365" s="272" t="s">
        <v>983</v>
      </c>
      <c r="H365" s="1"/>
    </row>
    <row r="366" spans="2:8" ht="17.25" x14ac:dyDescent="0.25">
      <c r="B366" s="1"/>
      <c r="C366" s="270" t="s">
        <v>393</v>
      </c>
      <c r="D366" s="161">
        <v>182.1472799109209</v>
      </c>
      <c r="E366" s="162">
        <f t="shared" si="5"/>
        <v>266.29719285222353</v>
      </c>
      <c r="F366" s="161">
        <v>15.9</v>
      </c>
      <c r="G366" s="272" t="s">
        <v>983</v>
      </c>
      <c r="H366" s="1"/>
    </row>
    <row r="367" spans="2:8" ht="17.25" x14ac:dyDescent="0.25">
      <c r="B367" s="1"/>
      <c r="C367" s="270" t="s">
        <v>394</v>
      </c>
      <c r="D367" s="161">
        <v>158.6</v>
      </c>
      <c r="E367" s="162">
        <f t="shared" si="5"/>
        <v>231.87134502923973</v>
      </c>
      <c r="F367" s="161">
        <v>14.5</v>
      </c>
      <c r="G367" s="272" t="s">
        <v>983</v>
      </c>
      <c r="H367" s="1"/>
    </row>
    <row r="368" spans="2:8" ht="17.25" x14ac:dyDescent="0.25">
      <c r="B368" s="1"/>
      <c r="C368" s="270" t="s">
        <v>395</v>
      </c>
      <c r="D368" s="161">
        <v>116.5</v>
      </c>
      <c r="E368" s="162">
        <f t="shared" si="5"/>
        <v>170.32163742690057</v>
      </c>
      <c r="F368" s="161">
        <v>15.9</v>
      </c>
      <c r="G368" s="272" t="s">
        <v>983</v>
      </c>
      <c r="H368" s="1"/>
    </row>
    <row r="369" spans="2:8" ht="17.25" x14ac:dyDescent="0.25">
      <c r="B369" s="1"/>
      <c r="C369" s="270" t="s">
        <v>396</v>
      </c>
      <c r="D369" s="161">
        <v>149.68114258130331</v>
      </c>
      <c r="E369" s="162">
        <f t="shared" si="5"/>
        <v>218.83207979722704</v>
      </c>
      <c r="F369" s="161">
        <v>15.9</v>
      </c>
      <c r="G369" s="272" t="s">
        <v>983</v>
      </c>
      <c r="H369" s="1"/>
    </row>
    <row r="370" spans="2:8" ht="17.25" x14ac:dyDescent="0.25">
      <c r="B370" s="1"/>
      <c r="C370" s="270" t="s">
        <v>397</v>
      </c>
      <c r="D370" s="161">
        <v>310.98316082352352</v>
      </c>
      <c r="E370" s="162">
        <f t="shared" si="5"/>
        <v>454.65374389404019</v>
      </c>
      <c r="F370" s="161">
        <v>12</v>
      </c>
      <c r="G370" s="272" t="s">
        <v>983</v>
      </c>
      <c r="H370" s="1"/>
    </row>
    <row r="371" spans="2:8" ht="17.25" x14ac:dyDescent="0.25">
      <c r="B371" s="1"/>
      <c r="C371" s="270" t="s">
        <v>398</v>
      </c>
      <c r="D371" s="161">
        <v>191.0601999370879</v>
      </c>
      <c r="E371" s="162">
        <f t="shared" si="5"/>
        <v>279.32777768580098</v>
      </c>
      <c r="F371" s="161">
        <v>15.9</v>
      </c>
      <c r="G371" s="272" t="s">
        <v>983</v>
      </c>
      <c r="H371" s="1"/>
    </row>
    <row r="372" spans="2:8" ht="17.25" x14ac:dyDescent="0.25">
      <c r="B372" s="1"/>
      <c r="C372" s="270" t="s">
        <v>399</v>
      </c>
      <c r="D372" s="161">
        <v>86.101269278847283</v>
      </c>
      <c r="E372" s="162">
        <f t="shared" si="5"/>
        <v>125.87904865328549</v>
      </c>
      <c r="F372" s="161">
        <v>15.9</v>
      </c>
      <c r="G372" s="272" t="s">
        <v>983</v>
      </c>
      <c r="H372" s="1"/>
    </row>
    <row r="373" spans="2:8" ht="17.25" x14ac:dyDescent="0.25">
      <c r="B373" s="1"/>
      <c r="C373" s="270" t="s">
        <v>400</v>
      </c>
      <c r="D373" s="161">
        <v>233.32980949720076</v>
      </c>
      <c r="E373" s="162">
        <f t="shared" si="5"/>
        <v>341.12545248128765</v>
      </c>
      <c r="F373" s="161">
        <v>2.4</v>
      </c>
      <c r="G373" s="272" t="s">
        <v>983</v>
      </c>
      <c r="H373" s="1"/>
    </row>
    <row r="374" spans="2:8" ht="17.25" x14ac:dyDescent="0.25">
      <c r="B374" s="1"/>
      <c r="C374" s="270" t="s">
        <v>401</v>
      </c>
      <c r="D374" s="161">
        <v>286.56844208670293</v>
      </c>
      <c r="E374" s="162">
        <f t="shared" si="5"/>
        <v>418.95971065307441</v>
      </c>
      <c r="F374" s="161">
        <v>4.5999999999999996</v>
      </c>
      <c r="G374" s="272" t="s">
        <v>983</v>
      </c>
      <c r="H374" s="1"/>
    </row>
    <row r="375" spans="2:8" ht="17.25" x14ac:dyDescent="0.25">
      <c r="B375" s="1"/>
      <c r="C375" s="270" t="s">
        <v>402</v>
      </c>
      <c r="D375" s="161">
        <v>234.1</v>
      </c>
      <c r="E375" s="162">
        <f t="shared" si="5"/>
        <v>342.25146198830407</v>
      </c>
      <c r="F375" s="161">
        <v>2.4</v>
      </c>
      <c r="G375" s="272" t="s">
        <v>983</v>
      </c>
      <c r="H375" s="1"/>
    </row>
    <row r="376" spans="2:8" ht="17.25" x14ac:dyDescent="0.25">
      <c r="B376" s="1"/>
      <c r="C376" s="270" t="s">
        <v>403</v>
      </c>
      <c r="D376" s="161">
        <v>233.37953434830484</v>
      </c>
      <c r="E376" s="162">
        <f t="shared" si="5"/>
        <v>341.19814963202458</v>
      </c>
      <c r="F376" s="161">
        <v>2.4</v>
      </c>
      <c r="G376" s="272" t="s">
        <v>983</v>
      </c>
      <c r="H376" s="1"/>
    </row>
    <row r="377" spans="2:8" ht="17.25" x14ac:dyDescent="0.25">
      <c r="B377" s="1"/>
      <c r="C377" s="270" t="s">
        <v>404</v>
      </c>
      <c r="D377" s="161"/>
      <c r="E377" s="162"/>
      <c r="F377" s="161">
        <v>2.4</v>
      </c>
      <c r="G377" s="272" t="s">
        <v>983</v>
      </c>
      <c r="H377" s="1"/>
    </row>
    <row r="378" spans="2:8" ht="17.25" x14ac:dyDescent="0.25">
      <c r="B378" s="1"/>
      <c r="C378" s="270" t="s">
        <v>405</v>
      </c>
      <c r="D378" s="161">
        <v>233.37953434830484</v>
      </c>
      <c r="E378" s="162">
        <f t="shared" si="5"/>
        <v>341.19814963202458</v>
      </c>
      <c r="F378" s="161">
        <v>2.4</v>
      </c>
      <c r="G378" s="272" t="s">
        <v>983</v>
      </c>
      <c r="H378" s="1"/>
    </row>
    <row r="379" spans="2:8" ht="17.25" x14ac:dyDescent="0.25">
      <c r="B379" s="1"/>
      <c r="C379" s="270" t="s">
        <v>406</v>
      </c>
      <c r="D379" s="161"/>
      <c r="E379" s="162"/>
      <c r="F379" s="161">
        <v>2.4</v>
      </c>
      <c r="G379" s="272" t="s">
        <v>983</v>
      </c>
      <c r="H379" s="1"/>
    </row>
    <row r="380" spans="2:8" ht="17.25" x14ac:dyDescent="0.25">
      <c r="B380" s="1"/>
      <c r="C380" s="270" t="s">
        <v>407</v>
      </c>
      <c r="D380" s="161">
        <v>233.00117596269763</v>
      </c>
      <c r="E380" s="162">
        <f t="shared" si="5"/>
        <v>340.64499409751113</v>
      </c>
      <c r="F380" s="161">
        <v>2.4</v>
      </c>
      <c r="G380" s="272" t="s">
        <v>983</v>
      </c>
      <c r="H380" s="1"/>
    </row>
    <row r="381" spans="2:8" ht="17.25" x14ac:dyDescent="0.25">
      <c r="B381" s="1"/>
      <c r="C381" s="270" t="s">
        <v>408</v>
      </c>
      <c r="D381" s="161">
        <v>208.18101308843302</v>
      </c>
      <c r="E381" s="162">
        <f t="shared" si="5"/>
        <v>304.35820626963891</v>
      </c>
      <c r="F381" s="161">
        <v>2.4</v>
      </c>
      <c r="G381" s="272" t="s">
        <v>983</v>
      </c>
      <c r="H381" s="1"/>
    </row>
    <row r="382" spans="2:8" ht="17.25" x14ac:dyDescent="0.25">
      <c r="B382" s="1"/>
      <c r="C382" s="270" t="s">
        <v>409</v>
      </c>
      <c r="D382" s="161">
        <v>158.6</v>
      </c>
      <c r="E382" s="162">
        <f t="shared" si="5"/>
        <v>231.87134502923973</v>
      </c>
      <c r="F382" s="161">
        <v>2.4</v>
      </c>
      <c r="G382" s="272" t="s">
        <v>983</v>
      </c>
      <c r="H382" s="1"/>
    </row>
    <row r="383" spans="2:8" ht="17.25" x14ac:dyDescent="0.25">
      <c r="B383" s="1"/>
      <c r="C383" s="270" t="s">
        <v>410</v>
      </c>
      <c r="D383" s="161">
        <v>233.37953434830484</v>
      </c>
      <c r="E383" s="162">
        <f t="shared" si="5"/>
        <v>341.19814963202458</v>
      </c>
      <c r="F383" s="161">
        <v>2.4</v>
      </c>
      <c r="G383" s="272" t="s">
        <v>983</v>
      </c>
      <c r="H383" s="1"/>
    </row>
    <row r="384" spans="2:8" ht="17.25" x14ac:dyDescent="0.25">
      <c r="B384" s="1"/>
      <c r="C384" s="270" t="s">
        <v>411</v>
      </c>
      <c r="D384" s="161">
        <v>233.37953434830484</v>
      </c>
      <c r="E384" s="162">
        <f t="shared" si="5"/>
        <v>341.19814963202458</v>
      </c>
      <c r="F384" s="161">
        <v>2.4</v>
      </c>
      <c r="G384" s="272" t="s">
        <v>983</v>
      </c>
      <c r="H384" s="1"/>
    </row>
    <row r="385" spans="2:8" ht="17.25" x14ac:dyDescent="0.25">
      <c r="B385" s="1"/>
      <c r="C385" s="270" t="s">
        <v>412</v>
      </c>
      <c r="D385" s="161">
        <v>186.46</v>
      </c>
      <c r="E385" s="162">
        <f t="shared" si="5"/>
        <v>272.60233918128654</v>
      </c>
      <c r="F385" s="161">
        <v>2.4</v>
      </c>
      <c r="G385" s="272" t="s">
        <v>983</v>
      </c>
      <c r="H385" s="1"/>
    </row>
    <row r="386" spans="2:8" ht="17.25" x14ac:dyDescent="0.25">
      <c r="B386" s="1"/>
      <c r="C386" s="270" t="s">
        <v>413</v>
      </c>
      <c r="D386" s="161">
        <v>186.5898964941141</v>
      </c>
      <c r="E386" s="162">
        <f t="shared" si="5"/>
        <v>272.79224633642411</v>
      </c>
      <c r="F386" s="161">
        <v>2.4</v>
      </c>
      <c r="G386" s="272" t="s">
        <v>983</v>
      </c>
      <c r="H386" s="1"/>
    </row>
    <row r="387" spans="2:8" ht="17.25" x14ac:dyDescent="0.25">
      <c r="B387" s="1"/>
      <c r="C387" s="270" t="s">
        <v>414</v>
      </c>
      <c r="D387" s="161">
        <v>186.5898964941141</v>
      </c>
      <c r="E387" s="162">
        <f t="shared" si="5"/>
        <v>272.79224633642411</v>
      </c>
      <c r="F387" s="161">
        <v>2.4</v>
      </c>
      <c r="G387" s="272" t="s">
        <v>983</v>
      </c>
      <c r="H387" s="1"/>
    </row>
    <row r="388" spans="2:8" ht="17.25" x14ac:dyDescent="0.25">
      <c r="B388" s="1"/>
      <c r="C388" s="270" t="s">
        <v>415</v>
      </c>
      <c r="D388" s="161">
        <v>139.12152960631218</v>
      </c>
      <c r="E388" s="162">
        <f t="shared" si="5"/>
        <v>203.39404913203535</v>
      </c>
      <c r="F388" s="161">
        <v>2.4</v>
      </c>
      <c r="G388" s="272" t="s">
        <v>983</v>
      </c>
      <c r="H388" s="1"/>
    </row>
    <row r="389" spans="2:8" ht="17.25" x14ac:dyDescent="0.25">
      <c r="B389" s="1"/>
      <c r="C389" s="270" t="s">
        <v>416</v>
      </c>
      <c r="D389" s="161">
        <v>150</v>
      </c>
      <c r="E389" s="162">
        <f t="shared" si="5"/>
        <v>219.29824561403507</v>
      </c>
      <c r="F389" s="161">
        <v>2.4</v>
      </c>
      <c r="G389" s="272" t="s">
        <v>983</v>
      </c>
      <c r="H389" s="1"/>
    </row>
    <row r="390" spans="2:8" ht="17.25" x14ac:dyDescent="0.25">
      <c r="B390" s="1"/>
      <c r="C390" s="270" t="s">
        <v>417</v>
      </c>
      <c r="D390" s="161">
        <v>151.40437315522402</v>
      </c>
      <c r="E390" s="162">
        <f t="shared" si="5"/>
        <v>221.35142274155558</v>
      </c>
      <c r="F390" s="161">
        <v>4.5999999999999996</v>
      </c>
      <c r="G390" s="272" t="s">
        <v>983</v>
      </c>
      <c r="H390" s="1"/>
    </row>
    <row r="391" spans="2:8" ht="17.25" x14ac:dyDescent="0.25">
      <c r="B391" s="1"/>
      <c r="C391" s="270" t="s">
        <v>418</v>
      </c>
      <c r="D391" s="161">
        <v>146.5</v>
      </c>
      <c r="E391" s="162">
        <f t="shared" si="5"/>
        <v>214.18128654970758</v>
      </c>
      <c r="F391" s="161">
        <v>2.4</v>
      </c>
      <c r="G391" s="272" t="s">
        <v>983</v>
      </c>
      <c r="H391" s="1"/>
    </row>
    <row r="392" spans="2:8" ht="17.25" x14ac:dyDescent="0.25">
      <c r="B392" s="1"/>
      <c r="C392" s="270" t="s">
        <v>419</v>
      </c>
      <c r="D392" s="161">
        <v>174.57900009086796</v>
      </c>
      <c r="E392" s="162">
        <f t="shared" si="5"/>
        <v>255.23245627319875</v>
      </c>
      <c r="F392" s="161">
        <v>2.4</v>
      </c>
      <c r="G392" s="272" t="s">
        <v>983</v>
      </c>
      <c r="H392" s="1"/>
    </row>
    <row r="393" spans="2:8" ht="17.25" x14ac:dyDescent="0.25">
      <c r="B393" s="1"/>
      <c r="C393" s="270" t="s">
        <v>420</v>
      </c>
      <c r="D393" s="161">
        <v>174.57900009086796</v>
      </c>
      <c r="E393" s="162">
        <f t="shared" si="5"/>
        <v>255.23245627319875</v>
      </c>
      <c r="F393" s="161">
        <v>2.4</v>
      </c>
      <c r="G393" s="272" t="s">
        <v>983</v>
      </c>
      <c r="H393" s="1"/>
    </row>
    <row r="394" spans="2:8" ht="17.25" x14ac:dyDescent="0.25">
      <c r="B394" s="1"/>
      <c r="C394" s="270" t="s">
        <v>421</v>
      </c>
      <c r="D394" s="161">
        <v>163.5</v>
      </c>
      <c r="E394" s="162">
        <f t="shared" si="5"/>
        <v>239.03508771929822</v>
      </c>
      <c r="F394" s="161">
        <v>2.4</v>
      </c>
      <c r="G394" s="272" t="s">
        <v>983</v>
      </c>
      <c r="H394" s="1"/>
    </row>
    <row r="395" spans="2:8" ht="17.25" x14ac:dyDescent="0.25">
      <c r="B395" s="1"/>
      <c r="C395" s="270" t="s">
        <v>422</v>
      </c>
      <c r="D395" s="161">
        <v>158.6</v>
      </c>
      <c r="E395" s="162">
        <f t="shared" si="5"/>
        <v>231.87134502923973</v>
      </c>
      <c r="F395" s="161">
        <v>2.4</v>
      </c>
      <c r="G395" s="272" t="s">
        <v>983</v>
      </c>
      <c r="H395" s="1"/>
    </row>
    <row r="396" spans="2:8" ht="17.25" x14ac:dyDescent="0.25">
      <c r="B396" s="1"/>
      <c r="C396" s="270" t="s">
        <v>423</v>
      </c>
      <c r="D396" s="161">
        <v>150</v>
      </c>
      <c r="E396" s="162">
        <f t="shared" si="5"/>
        <v>219.29824561403507</v>
      </c>
      <c r="F396" s="161">
        <v>2.4</v>
      </c>
      <c r="G396" s="272" t="s">
        <v>983</v>
      </c>
      <c r="H396" s="1"/>
    </row>
    <row r="397" spans="2:8" ht="17.25" x14ac:dyDescent="0.25">
      <c r="B397" s="1"/>
      <c r="C397" s="270" t="s">
        <v>424</v>
      </c>
      <c r="D397" s="161">
        <v>150</v>
      </c>
      <c r="E397" s="162">
        <f t="shared" si="5"/>
        <v>219.29824561403507</v>
      </c>
      <c r="F397" s="161">
        <v>2.4</v>
      </c>
      <c r="G397" s="272" t="s">
        <v>983</v>
      </c>
      <c r="H397" s="1"/>
    </row>
    <row r="398" spans="2:8" ht="17.25" x14ac:dyDescent="0.25">
      <c r="B398" s="1"/>
      <c r="C398" s="270" t="s">
        <v>425</v>
      </c>
      <c r="D398" s="161">
        <v>241.50063746238197</v>
      </c>
      <c r="E398" s="162">
        <f t="shared" si="5"/>
        <v>353.07110740114319</v>
      </c>
      <c r="F398" s="161">
        <v>3</v>
      </c>
      <c r="G398" s="272" t="s">
        <v>983</v>
      </c>
      <c r="H398" s="1"/>
    </row>
    <row r="399" spans="2:8" ht="17.25" x14ac:dyDescent="0.25">
      <c r="B399" s="1"/>
      <c r="C399" s="270" t="s">
        <v>426</v>
      </c>
      <c r="D399" s="161">
        <v>241.50063746238197</v>
      </c>
      <c r="E399" s="162">
        <f t="shared" si="5"/>
        <v>353.07110740114319</v>
      </c>
      <c r="F399" s="161">
        <v>3</v>
      </c>
      <c r="G399" s="272" t="s">
        <v>983</v>
      </c>
      <c r="H399" s="1"/>
    </row>
    <row r="400" spans="2:8" ht="17.25" x14ac:dyDescent="0.25">
      <c r="B400" s="1"/>
      <c r="C400" s="270" t="s">
        <v>427</v>
      </c>
      <c r="D400" s="161">
        <v>1207.2394128755075</v>
      </c>
      <c r="E400" s="162">
        <f t="shared" si="5"/>
        <v>1764.9699018647768</v>
      </c>
      <c r="F400" s="161">
        <v>4.5999999999999996</v>
      </c>
      <c r="G400" s="272" t="s">
        <v>983</v>
      </c>
      <c r="H400" s="1"/>
    </row>
    <row r="401" spans="2:8" ht="17.25" x14ac:dyDescent="0.25">
      <c r="B401" s="1"/>
      <c r="C401" s="270" t="s">
        <v>428</v>
      </c>
      <c r="D401" s="161">
        <v>1207.2394128755075</v>
      </c>
      <c r="E401" s="162">
        <f t="shared" si="5"/>
        <v>1764.9699018647768</v>
      </c>
      <c r="F401" s="161">
        <v>4.5999999999999996</v>
      </c>
      <c r="G401" s="272" t="s">
        <v>983</v>
      </c>
      <c r="H401" s="1"/>
    </row>
    <row r="402" spans="2:8" ht="17.25" x14ac:dyDescent="0.25">
      <c r="B402" s="1"/>
      <c r="C402" s="270" t="s">
        <v>429</v>
      </c>
      <c r="D402" s="161"/>
      <c r="E402" s="162"/>
      <c r="F402" s="161">
        <v>4.5999999999999996</v>
      </c>
      <c r="G402" s="272" t="s">
        <v>983</v>
      </c>
      <c r="H402" s="1"/>
    </row>
    <row r="403" spans="2:8" ht="17.25" x14ac:dyDescent="0.25">
      <c r="B403" s="1"/>
      <c r="C403" s="270" t="s">
        <v>430</v>
      </c>
      <c r="D403" s="161"/>
      <c r="E403" s="162"/>
      <c r="F403" s="161">
        <v>4.5999999999999996</v>
      </c>
      <c r="G403" s="272" t="s">
        <v>983</v>
      </c>
      <c r="H403" s="1"/>
    </row>
    <row r="404" spans="2:8" ht="17.25" x14ac:dyDescent="0.25">
      <c r="B404" s="1"/>
      <c r="C404" s="270" t="s">
        <v>431</v>
      </c>
      <c r="D404" s="161">
        <v>484.97422611928562</v>
      </c>
      <c r="E404" s="162">
        <f t="shared" ref="E404:E467" si="6">D404/0.684</f>
        <v>709.02664637322448</v>
      </c>
      <c r="F404" s="161">
        <v>2.4</v>
      </c>
      <c r="G404" s="272" t="s">
        <v>983</v>
      </c>
      <c r="H404" s="1"/>
    </row>
    <row r="405" spans="2:8" ht="17.25" x14ac:dyDescent="0.25">
      <c r="B405" s="1"/>
      <c r="C405" s="270" t="s">
        <v>432</v>
      </c>
      <c r="D405" s="161">
        <v>1207.2394128755075</v>
      </c>
      <c r="E405" s="162">
        <f t="shared" si="6"/>
        <v>1764.9699018647768</v>
      </c>
      <c r="F405" s="161">
        <v>4.5999999999999996</v>
      </c>
      <c r="G405" s="272" t="s">
        <v>983</v>
      </c>
      <c r="H405" s="1"/>
    </row>
    <row r="406" spans="2:8" ht="17.25" x14ac:dyDescent="0.25">
      <c r="B406" s="1"/>
      <c r="C406" s="270" t="s">
        <v>433</v>
      </c>
      <c r="D406" s="161"/>
      <c r="E406" s="162"/>
      <c r="F406" s="161"/>
      <c r="G406" s="272" t="s">
        <v>983</v>
      </c>
      <c r="H406" s="1"/>
    </row>
    <row r="407" spans="2:8" ht="17.25" x14ac:dyDescent="0.25">
      <c r="B407" s="1"/>
      <c r="C407" s="270" t="s">
        <v>434</v>
      </c>
      <c r="D407" s="161"/>
      <c r="E407" s="162"/>
      <c r="F407" s="161"/>
      <c r="G407" s="272" t="s">
        <v>983</v>
      </c>
      <c r="H407" s="1"/>
    </row>
    <row r="408" spans="2:8" ht="17.25" x14ac:dyDescent="0.25">
      <c r="B408" s="1"/>
      <c r="C408" s="270" t="s">
        <v>435</v>
      </c>
      <c r="D408" s="161">
        <v>484.97422611928562</v>
      </c>
      <c r="E408" s="162">
        <f t="shared" si="6"/>
        <v>709.02664637322448</v>
      </c>
      <c r="F408" s="161">
        <v>2.4</v>
      </c>
      <c r="G408" s="272" t="s">
        <v>983</v>
      </c>
      <c r="H408" s="1"/>
    </row>
    <row r="409" spans="2:8" ht="17.25" x14ac:dyDescent="0.25">
      <c r="B409" s="1"/>
      <c r="C409" s="270" t="s">
        <v>436</v>
      </c>
      <c r="D409" s="161">
        <v>146.30000000000001</v>
      </c>
      <c r="E409" s="162">
        <f t="shared" si="6"/>
        <v>213.88888888888889</v>
      </c>
      <c r="F409" s="161">
        <v>14.5</v>
      </c>
      <c r="G409" s="272" t="s">
        <v>983</v>
      </c>
      <c r="H409" s="1"/>
    </row>
    <row r="410" spans="2:8" ht="17.25" x14ac:dyDescent="0.25">
      <c r="B410" s="1"/>
      <c r="C410" s="270" t="s">
        <v>437</v>
      </c>
      <c r="D410" s="161">
        <v>154.30000000000001</v>
      </c>
      <c r="E410" s="162">
        <f t="shared" si="6"/>
        <v>225.58479532163742</v>
      </c>
      <c r="F410" s="161">
        <v>15.9</v>
      </c>
      <c r="G410" s="272" t="s">
        <v>983</v>
      </c>
      <c r="H410" s="1"/>
    </row>
    <row r="411" spans="2:8" ht="17.25" x14ac:dyDescent="0.25">
      <c r="B411" s="1"/>
      <c r="C411" s="270" t="s">
        <v>438</v>
      </c>
      <c r="D411" s="161">
        <v>154.30000000000001</v>
      </c>
      <c r="E411" s="162">
        <f t="shared" si="6"/>
        <v>225.58479532163742</v>
      </c>
      <c r="F411" s="161">
        <v>15.9</v>
      </c>
      <c r="G411" s="272" t="s">
        <v>983</v>
      </c>
      <c r="H411" s="1"/>
    </row>
    <row r="412" spans="2:8" ht="17.25" x14ac:dyDescent="0.25">
      <c r="B412" s="1"/>
      <c r="C412" s="270" t="s">
        <v>439</v>
      </c>
      <c r="D412" s="161">
        <v>191.9</v>
      </c>
      <c r="E412" s="162">
        <f t="shared" si="6"/>
        <v>280.55555555555554</v>
      </c>
      <c r="F412" s="161">
        <v>15.9</v>
      </c>
      <c r="G412" s="272" t="s">
        <v>983</v>
      </c>
      <c r="H412" s="1"/>
    </row>
    <row r="413" spans="2:8" ht="17.25" x14ac:dyDescent="0.25">
      <c r="B413" s="1"/>
      <c r="C413" s="270" t="s">
        <v>440</v>
      </c>
      <c r="D413" s="161">
        <v>191.9</v>
      </c>
      <c r="E413" s="162">
        <f t="shared" si="6"/>
        <v>280.55555555555554</v>
      </c>
      <c r="F413" s="161">
        <v>15.9</v>
      </c>
      <c r="G413" s="272" t="s">
        <v>983</v>
      </c>
      <c r="H413" s="1"/>
    </row>
    <row r="414" spans="2:8" ht="17.25" x14ac:dyDescent="0.25">
      <c r="B414" s="1"/>
      <c r="C414" s="270" t="s">
        <v>441</v>
      </c>
      <c r="D414" s="161"/>
      <c r="E414" s="162"/>
      <c r="F414" s="161"/>
      <c r="G414" s="272" t="s">
        <v>983</v>
      </c>
      <c r="H414" s="1"/>
    </row>
    <row r="415" spans="2:8" ht="17.25" x14ac:dyDescent="0.25">
      <c r="B415" s="1"/>
      <c r="C415" s="270" t="s">
        <v>442</v>
      </c>
      <c r="D415" s="161"/>
      <c r="E415" s="162"/>
      <c r="F415" s="161"/>
      <c r="G415" s="272" t="s">
        <v>983</v>
      </c>
      <c r="H415" s="1"/>
    </row>
    <row r="416" spans="2:8" ht="17.25" x14ac:dyDescent="0.25">
      <c r="B416" s="1"/>
      <c r="C416" s="270" t="s">
        <v>443</v>
      </c>
      <c r="D416" s="161">
        <v>229.79217663890225</v>
      </c>
      <c r="E416" s="162">
        <f t="shared" si="6"/>
        <v>335.95347461827811</v>
      </c>
      <c r="F416" s="161">
        <v>14.5</v>
      </c>
      <c r="G416" s="272" t="s">
        <v>983</v>
      </c>
      <c r="H416" s="1"/>
    </row>
    <row r="417" spans="2:8" ht="17.25" x14ac:dyDescent="0.25">
      <c r="B417" s="1"/>
      <c r="C417" s="270" t="s">
        <v>444</v>
      </c>
      <c r="D417" s="161">
        <v>229.79217663890225</v>
      </c>
      <c r="E417" s="162">
        <f t="shared" si="6"/>
        <v>335.95347461827811</v>
      </c>
      <c r="F417" s="161">
        <v>14.5</v>
      </c>
      <c r="G417" s="272" t="s">
        <v>983</v>
      </c>
      <c r="H417" s="1"/>
    </row>
    <row r="418" spans="2:8" ht="17.25" x14ac:dyDescent="0.25">
      <c r="B418" s="1"/>
      <c r="C418" s="270" t="s">
        <v>445</v>
      </c>
      <c r="D418" s="161">
        <v>187.5230652479849</v>
      </c>
      <c r="E418" s="162">
        <f t="shared" si="6"/>
        <v>274.15652814032876</v>
      </c>
      <c r="F418" s="161">
        <v>14.5</v>
      </c>
      <c r="G418" s="272" t="s">
        <v>983</v>
      </c>
      <c r="H418" s="1"/>
    </row>
    <row r="419" spans="2:8" ht="17.25" x14ac:dyDescent="0.25">
      <c r="B419" s="1"/>
      <c r="C419" s="270" t="s">
        <v>446</v>
      </c>
      <c r="D419" s="161">
        <v>187.5230652479849</v>
      </c>
      <c r="E419" s="162">
        <f t="shared" si="6"/>
        <v>274.15652814032876</v>
      </c>
      <c r="F419" s="161">
        <v>14.5</v>
      </c>
      <c r="G419" s="272" t="s">
        <v>983</v>
      </c>
      <c r="H419" s="1"/>
    </row>
    <row r="420" spans="2:8" ht="17.25" x14ac:dyDescent="0.25">
      <c r="B420" s="1"/>
      <c r="C420" s="270" t="s">
        <v>447</v>
      </c>
      <c r="D420" s="161">
        <v>150.5</v>
      </c>
      <c r="E420" s="162">
        <f t="shared" si="6"/>
        <v>220.02923976608184</v>
      </c>
      <c r="F420" s="161">
        <v>14.5</v>
      </c>
      <c r="G420" s="272" t="s">
        <v>983</v>
      </c>
      <c r="H420" s="1"/>
    </row>
    <row r="421" spans="2:8" ht="17.25" x14ac:dyDescent="0.25">
      <c r="B421" s="1"/>
      <c r="C421" s="270" t="s">
        <v>448</v>
      </c>
      <c r="D421" s="161">
        <v>117.5196472935483</v>
      </c>
      <c r="E421" s="162">
        <f t="shared" si="6"/>
        <v>171.81234984436884</v>
      </c>
      <c r="F421" s="161">
        <v>15.9</v>
      </c>
      <c r="G421" s="272" t="s">
        <v>983</v>
      </c>
      <c r="H421" s="1"/>
    </row>
    <row r="422" spans="2:8" ht="17.25" x14ac:dyDescent="0.25">
      <c r="B422" s="1"/>
      <c r="C422" s="270" t="s">
        <v>449</v>
      </c>
      <c r="D422" s="161">
        <v>117.5196472935483</v>
      </c>
      <c r="E422" s="162">
        <f t="shared" si="6"/>
        <v>171.81234984436884</v>
      </c>
      <c r="F422" s="161">
        <v>15.9</v>
      </c>
      <c r="G422" s="272" t="s">
        <v>983</v>
      </c>
      <c r="H422" s="1"/>
    </row>
    <row r="423" spans="2:8" ht="17.25" x14ac:dyDescent="0.25">
      <c r="B423" s="1"/>
      <c r="C423" s="270" t="s">
        <v>450</v>
      </c>
      <c r="D423" s="161">
        <v>240</v>
      </c>
      <c r="E423" s="162">
        <f t="shared" si="6"/>
        <v>350.87719298245611</v>
      </c>
      <c r="F423" s="161">
        <v>14.5</v>
      </c>
      <c r="G423" s="272" t="s">
        <v>983</v>
      </c>
      <c r="H423" s="1"/>
    </row>
    <row r="424" spans="2:8" ht="17.25" x14ac:dyDescent="0.25">
      <c r="B424" s="1"/>
      <c r="C424" s="270" t="s">
        <v>451</v>
      </c>
      <c r="D424" s="161">
        <v>240</v>
      </c>
      <c r="E424" s="162">
        <f t="shared" si="6"/>
        <v>350.87719298245611</v>
      </c>
      <c r="F424" s="161">
        <v>14.5</v>
      </c>
      <c r="G424" s="272" t="s">
        <v>983</v>
      </c>
      <c r="H424" s="1"/>
    </row>
    <row r="425" spans="2:8" ht="17.25" x14ac:dyDescent="0.25">
      <c r="B425" s="1"/>
      <c r="C425" s="270" t="s">
        <v>452</v>
      </c>
      <c r="D425" s="161">
        <v>148.62705002791384</v>
      </c>
      <c r="E425" s="162">
        <f t="shared" si="6"/>
        <v>217.29100881273951</v>
      </c>
      <c r="F425" s="161">
        <v>14.5</v>
      </c>
      <c r="G425" s="272" t="s">
        <v>983</v>
      </c>
      <c r="H425" s="1"/>
    </row>
    <row r="426" spans="2:8" ht="17.25" x14ac:dyDescent="0.25">
      <c r="B426" s="1"/>
      <c r="C426" s="270" t="s">
        <v>453</v>
      </c>
      <c r="D426" s="161">
        <v>148.62705002791384</v>
      </c>
      <c r="E426" s="162">
        <f t="shared" si="6"/>
        <v>217.29100881273951</v>
      </c>
      <c r="F426" s="161">
        <v>14.5</v>
      </c>
      <c r="G426" s="272" t="s">
        <v>983</v>
      </c>
      <c r="H426" s="1"/>
    </row>
    <row r="427" spans="2:8" ht="17.25" x14ac:dyDescent="0.25">
      <c r="B427" s="1"/>
      <c r="C427" s="270" t="s">
        <v>454</v>
      </c>
      <c r="D427" s="161">
        <v>173.14880620699955</v>
      </c>
      <c r="E427" s="162">
        <f t="shared" si="6"/>
        <v>253.141529542397</v>
      </c>
      <c r="F427" s="161">
        <v>14.5</v>
      </c>
      <c r="G427" s="272" t="s">
        <v>983</v>
      </c>
      <c r="H427" s="1"/>
    </row>
    <row r="428" spans="2:8" ht="17.25" x14ac:dyDescent="0.25">
      <c r="B428" s="1"/>
      <c r="C428" s="270" t="s">
        <v>455</v>
      </c>
      <c r="D428" s="161">
        <v>173.14880620699955</v>
      </c>
      <c r="E428" s="162">
        <f t="shared" si="6"/>
        <v>253.141529542397</v>
      </c>
      <c r="F428" s="161">
        <v>14.5</v>
      </c>
      <c r="G428" s="272" t="s">
        <v>983</v>
      </c>
      <c r="H428" s="1"/>
    </row>
    <row r="429" spans="2:8" ht="17.25" x14ac:dyDescent="0.25">
      <c r="B429" s="1"/>
      <c r="C429" s="270" t="s">
        <v>456</v>
      </c>
      <c r="D429" s="161">
        <v>118.64548031846809</v>
      </c>
      <c r="E429" s="162">
        <f t="shared" si="6"/>
        <v>173.45830455916385</v>
      </c>
      <c r="F429" s="161">
        <v>14.5</v>
      </c>
      <c r="G429" s="272" t="s">
        <v>983</v>
      </c>
      <c r="H429" s="1"/>
    </row>
    <row r="430" spans="2:8" ht="17.25" x14ac:dyDescent="0.25">
      <c r="B430" s="1"/>
      <c r="C430" s="270" t="s">
        <v>457</v>
      </c>
      <c r="D430" s="161">
        <v>118.64548031846809</v>
      </c>
      <c r="E430" s="162">
        <f t="shared" si="6"/>
        <v>173.45830455916385</v>
      </c>
      <c r="F430" s="161">
        <v>14.5</v>
      </c>
      <c r="G430" s="272" t="s">
        <v>983</v>
      </c>
      <c r="H430" s="1"/>
    </row>
    <row r="431" spans="2:8" ht="17.25" x14ac:dyDescent="0.25">
      <c r="B431" s="1"/>
      <c r="C431" s="270" t="s">
        <v>458</v>
      </c>
      <c r="D431" s="161">
        <v>150</v>
      </c>
      <c r="E431" s="162">
        <f t="shared" si="6"/>
        <v>219.29824561403507</v>
      </c>
      <c r="F431" s="161">
        <v>15.9</v>
      </c>
      <c r="G431" s="272" t="s">
        <v>983</v>
      </c>
      <c r="H431" s="1"/>
    </row>
    <row r="432" spans="2:8" ht="17.25" x14ac:dyDescent="0.25">
      <c r="B432" s="1"/>
      <c r="C432" s="270" t="s">
        <v>459</v>
      </c>
      <c r="D432" s="161">
        <v>236.7</v>
      </c>
      <c r="E432" s="162">
        <f t="shared" si="6"/>
        <v>346.05263157894734</v>
      </c>
      <c r="F432" s="161">
        <v>15.9</v>
      </c>
      <c r="G432" s="272" t="s">
        <v>983</v>
      </c>
      <c r="H432" s="1"/>
    </row>
    <row r="433" spans="2:8" ht="17.25" x14ac:dyDescent="0.25">
      <c r="B433" s="1"/>
      <c r="C433" s="270" t="s">
        <v>460</v>
      </c>
      <c r="D433" s="161">
        <v>236.7</v>
      </c>
      <c r="E433" s="162">
        <f t="shared" si="6"/>
        <v>346.05263157894734</v>
      </c>
      <c r="F433" s="161">
        <v>15.9</v>
      </c>
      <c r="G433" s="272" t="s">
        <v>983</v>
      </c>
      <c r="H433" s="1"/>
    </row>
    <row r="434" spans="2:8" ht="17.25" x14ac:dyDescent="0.25">
      <c r="B434" s="1"/>
      <c r="C434" s="270" t="s">
        <v>461</v>
      </c>
      <c r="D434" s="161">
        <v>230</v>
      </c>
      <c r="E434" s="162">
        <f t="shared" si="6"/>
        <v>336.25730994152042</v>
      </c>
      <c r="F434" s="161">
        <v>14.5</v>
      </c>
      <c r="G434" s="272" t="s">
        <v>983</v>
      </c>
      <c r="H434" s="1"/>
    </row>
    <row r="435" spans="2:8" ht="17.25" x14ac:dyDescent="0.25">
      <c r="B435" s="1"/>
      <c r="C435" s="270" t="s">
        <v>462</v>
      </c>
      <c r="D435" s="161">
        <v>135.6</v>
      </c>
      <c r="E435" s="162">
        <f t="shared" si="6"/>
        <v>198.2456140350877</v>
      </c>
      <c r="F435" s="161">
        <v>2.4</v>
      </c>
      <c r="G435" s="272" t="s">
        <v>983</v>
      </c>
      <c r="H435" s="1"/>
    </row>
    <row r="436" spans="2:8" ht="17.25" x14ac:dyDescent="0.25">
      <c r="B436" s="1"/>
      <c r="C436" s="270" t="s">
        <v>463</v>
      </c>
      <c r="D436" s="161">
        <v>147.80000000000001</v>
      </c>
      <c r="E436" s="162">
        <f t="shared" si="6"/>
        <v>216.08187134502924</v>
      </c>
      <c r="F436" s="161">
        <v>2.4</v>
      </c>
      <c r="G436" s="272" t="s">
        <v>983</v>
      </c>
      <c r="H436" s="1"/>
    </row>
    <row r="437" spans="2:8" ht="17.25" x14ac:dyDescent="0.25">
      <c r="B437" s="1"/>
      <c r="C437" s="270" t="s">
        <v>464</v>
      </c>
      <c r="D437" s="161">
        <v>108.57153299911437</v>
      </c>
      <c r="E437" s="162">
        <f t="shared" si="6"/>
        <v>158.73031140221397</v>
      </c>
      <c r="F437" s="161">
        <v>14.5</v>
      </c>
      <c r="G437" s="272" t="s">
        <v>983</v>
      </c>
      <c r="H437" s="1"/>
    </row>
    <row r="438" spans="2:8" ht="17.25" x14ac:dyDescent="0.25">
      <c r="B438" s="1"/>
      <c r="C438" s="270" t="s">
        <v>465</v>
      </c>
      <c r="D438" s="161">
        <v>108.57153299911437</v>
      </c>
      <c r="E438" s="162">
        <f t="shared" si="6"/>
        <v>158.73031140221397</v>
      </c>
      <c r="F438" s="161">
        <v>14.5</v>
      </c>
      <c r="G438" s="272" t="s">
        <v>983</v>
      </c>
      <c r="H438" s="1"/>
    </row>
    <row r="439" spans="2:8" ht="17.25" x14ac:dyDescent="0.25">
      <c r="B439" s="1"/>
      <c r="C439" s="270" t="s">
        <v>466</v>
      </c>
      <c r="D439" s="161">
        <v>150.62982587935383</v>
      </c>
      <c r="E439" s="162">
        <f t="shared" si="6"/>
        <v>220.21904368326582</v>
      </c>
      <c r="F439" s="161">
        <v>14.5</v>
      </c>
      <c r="G439" s="272" t="s">
        <v>983</v>
      </c>
      <c r="H439" s="1"/>
    </row>
    <row r="440" spans="2:8" ht="17.25" x14ac:dyDescent="0.25">
      <c r="B440" s="1"/>
      <c r="C440" s="270" t="s">
        <v>467</v>
      </c>
      <c r="D440" s="161">
        <v>150.62982587935383</v>
      </c>
      <c r="E440" s="162">
        <f t="shared" si="6"/>
        <v>220.21904368326582</v>
      </c>
      <c r="F440" s="161">
        <v>14.5</v>
      </c>
      <c r="G440" s="272" t="s">
        <v>983</v>
      </c>
      <c r="H440" s="1"/>
    </row>
    <row r="441" spans="2:8" ht="17.25" x14ac:dyDescent="0.25">
      <c r="B441" s="1"/>
      <c r="C441" s="270" t="s">
        <v>468</v>
      </c>
      <c r="D441" s="161">
        <v>108.57153299911437</v>
      </c>
      <c r="E441" s="162">
        <f t="shared" si="6"/>
        <v>158.73031140221397</v>
      </c>
      <c r="F441" s="161">
        <v>14.5</v>
      </c>
      <c r="G441" s="272" t="s">
        <v>983</v>
      </c>
      <c r="H441" s="1"/>
    </row>
    <row r="442" spans="2:8" ht="17.25" x14ac:dyDescent="0.25">
      <c r="B442" s="1"/>
      <c r="C442" s="270" t="s">
        <v>469</v>
      </c>
      <c r="D442" s="161">
        <v>108.57153299911437</v>
      </c>
      <c r="E442" s="162">
        <f t="shared" si="6"/>
        <v>158.73031140221397</v>
      </c>
      <c r="F442" s="161">
        <v>14.5</v>
      </c>
      <c r="G442" s="272" t="s">
        <v>983</v>
      </c>
      <c r="H442" s="1"/>
    </row>
    <row r="443" spans="2:8" ht="17.25" x14ac:dyDescent="0.25">
      <c r="B443" s="1"/>
      <c r="C443" s="270" t="s">
        <v>470</v>
      </c>
      <c r="D443" s="161">
        <v>150.62982587935383</v>
      </c>
      <c r="E443" s="162">
        <f t="shared" si="6"/>
        <v>220.21904368326582</v>
      </c>
      <c r="F443" s="161">
        <v>14.5</v>
      </c>
      <c r="G443" s="272" t="s">
        <v>983</v>
      </c>
      <c r="H443" s="1"/>
    </row>
    <row r="444" spans="2:8" ht="17.25" x14ac:dyDescent="0.25">
      <c r="B444" s="1"/>
      <c r="C444" s="270" t="s">
        <v>471</v>
      </c>
      <c r="D444" s="161">
        <v>150.62982587935383</v>
      </c>
      <c r="E444" s="162">
        <f t="shared" si="6"/>
        <v>220.21904368326582</v>
      </c>
      <c r="F444" s="161">
        <v>14.5</v>
      </c>
      <c r="G444" s="272" t="s">
        <v>983</v>
      </c>
      <c r="H444" s="1"/>
    </row>
    <row r="445" spans="2:8" ht="17.25" x14ac:dyDescent="0.25">
      <c r="B445" s="1"/>
      <c r="C445" s="270" t="s">
        <v>472</v>
      </c>
      <c r="D445" s="161">
        <v>229.79217663890225</v>
      </c>
      <c r="E445" s="162">
        <f t="shared" si="6"/>
        <v>335.95347461827811</v>
      </c>
      <c r="F445" s="161">
        <v>14.5</v>
      </c>
      <c r="G445" s="272" t="s">
        <v>983</v>
      </c>
      <c r="H445" s="1"/>
    </row>
    <row r="446" spans="2:8" ht="17.25" x14ac:dyDescent="0.25">
      <c r="B446" s="1"/>
      <c r="C446" s="270" t="s">
        <v>473</v>
      </c>
      <c r="D446" s="161">
        <v>229.79217663890225</v>
      </c>
      <c r="E446" s="162">
        <f t="shared" si="6"/>
        <v>335.95347461827811</v>
      </c>
      <c r="F446" s="161">
        <v>14.5</v>
      </c>
      <c r="G446" s="272" t="s">
        <v>983</v>
      </c>
      <c r="H446" s="1"/>
    </row>
    <row r="447" spans="2:8" ht="17.25" x14ac:dyDescent="0.25">
      <c r="B447" s="1"/>
      <c r="C447" s="270" t="s">
        <v>474</v>
      </c>
      <c r="D447" s="161">
        <v>187.5230652479849</v>
      </c>
      <c r="E447" s="162">
        <f t="shared" si="6"/>
        <v>274.15652814032876</v>
      </c>
      <c r="F447" s="161">
        <v>14.5</v>
      </c>
      <c r="G447" s="272" t="s">
        <v>983</v>
      </c>
      <c r="H447" s="1"/>
    </row>
    <row r="448" spans="2:8" ht="17.25" x14ac:dyDescent="0.25">
      <c r="B448" s="1"/>
      <c r="C448" s="270" t="s">
        <v>475</v>
      </c>
      <c r="D448" s="161">
        <v>187.5230652479849</v>
      </c>
      <c r="E448" s="162">
        <f t="shared" si="6"/>
        <v>274.15652814032876</v>
      </c>
      <c r="F448" s="161">
        <v>14.5</v>
      </c>
      <c r="G448" s="272" t="s">
        <v>983</v>
      </c>
      <c r="H448" s="1"/>
    </row>
    <row r="449" spans="2:8" ht="17.25" x14ac:dyDescent="0.25">
      <c r="B449" s="1"/>
      <c r="C449" s="270" t="s">
        <v>476</v>
      </c>
      <c r="D449" s="161">
        <v>204.9882130757766</v>
      </c>
      <c r="E449" s="162">
        <f t="shared" si="6"/>
        <v>299.69036999382541</v>
      </c>
      <c r="F449" s="161">
        <v>15.9</v>
      </c>
      <c r="G449" s="272" t="s">
        <v>983</v>
      </c>
      <c r="H449" s="1"/>
    </row>
    <row r="450" spans="2:8" ht="17.25" x14ac:dyDescent="0.25">
      <c r="B450" s="1"/>
      <c r="C450" s="270" t="s">
        <v>477</v>
      </c>
      <c r="D450" s="161">
        <v>204.9882130757766</v>
      </c>
      <c r="E450" s="162">
        <f t="shared" si="6"/>
        <v>299.69036999382541</v>
      </c>
      <c r="F450" s="161">
        <v>15.9</v>
      </c>
      <c r="G450" s="272" t="s">
        <v>983</v>
      </c>
      <c r="H450" s="1"/>
    </row>
    <row r="451" spans="2:8" ht="17.25" x14ac:dyDescent="0.25">
      <c r="B451" s="1"/>
      <c r="C451" s="270" t="s">
        <v>478</v>
      </c>
      <c r="D451" s="161">
        <v>147.22431864335456</v>
      </c>
      <c r="E451" s="162">
        <f t="shared" si="6"/>
        <v>215.24023193472888</v>
      </c>
      <c r="F451" s="161">
        <v>15.9</v>
      </c>
      <c r="G451" s="272" t="s">
        <v>983</v>
      </c>
      <c r="H451" s="1"/>
    </row>
    <row r="452" spans="2:8" ht="17.25" x14ac:dyDescent="0.25">
      <c r="B452" s="1"/>
      <c r="C452" s="270" t="s">
        <v>479</v>
      </c>
      <c r="D452" s="161">
        <v>147.22431864335456</v>
      </c>
      <c r="E452" s="162">
        <f t="shared" si="6"/>
        <v>215.24023193472888</v>
      </c>
      <c r="F452" s="161">
        <v>15.9</v>
      </c>
      <c r="G452" s="272" t="s">
        <v>983</v>
      </c>
      <c r="H452" s="1"/>
    </row>
    <row r="453" spans="2:8" ht="17.25" x14ac:dyDescent="0.25">
      <c r="B453" s="1"/>
      <c r="C453" s="270" t="s">
        <v>480</v>
      </c>
      <c r="D453" s="161">
        <v>137</v>
      </c>
      <c r="E453" s="162">
        <f t="shared" si="6"/>
        <v>200.29239766081869</v>
      </c>
      <c r="F453" s="161">
        <v>15.9</v>
      </c>
      <c r="G453" s="272" t="s">
        <v>983</v>
      </c>
      <c r="H453" s="1"/>
    </row>
    <row r="454" spans="2:8" ht="17.25" x14ac:dyDescent="0.25">
      <c r="B454" s="1"/>
      <c r="C454" s="270" t="s">
        <v>481</v>
      </c>
      <c r="D454" s="161">
        <v>137</v>
      </c>
      <c r="E454" s="162">
        <f t="shared" si="6"/>
        <v>200.29239766081869</v>
      </c>
      <c r="F454" s="161">
        <v>15.9</v>
      </c>
      <c r="G454" s="272" t="s">
        <v>983</v>
      </c>
      <c r="H454" s="1"/>
    </row>
    <row r="455" spans="2:8" ht="17.25" x14ac:dyDescent="0.25">
      <c r="B455" s="1"/>
      <c r="C455" s="270" t="s">
        <v>482</v>
      </c>
      <c r="D455" s="161">
        <v>174.4836538319434</v>
      </c>
      <c r="E455" s="162">
        <f t="shared" si="6"/>
        <v>255.09306115781197</v>
      </c>
      <c r="F455" s="161">
        <v>14.5</v>
      </c>
      <c r="G455" s="272" t="s">
        <v>983</v>
      </c>
      <c r="H455" s="1"/>
    </row>
    <row r="456" spans="2:8" ht="17.25" x14ac:dyDescent="0.25">
      <c r="B456" s="1"/>
      <c r="C456" s="270" t="s">
        <v>483</v>
      </c>
      <c r="D456" s="161">
        <v>174.4836538319434</v>
      </c>
      <c r="E456" s="162">
        <f t="shared" si="6"/>
        <v>255.09306115781197</v>
      </c>
      <c r="F456" s="161">
        <v>14.5</v>
      </c>
      <c r="G456" s="272" t="s">
        <v>983</v>
      </c>
      <c r="H456" s="1"/>
    </row>
    <row r="457" spans="2:8" ht="17.25" x14ac:dyDescent="0.25">
      <c r="B457" s="1"/>
      <c r="C457" s="270" t="s">
        <v>484</v>
      </c>
      <c r="D457" s="161">
        <v>150.5</v>
      </c>
      <c r="E457" s="162">
        <f t="shared" si="6"/>
        <v>220.02923976608184</v>
      </c>
      <c r="F457" s="161">
        <v>14.5</v>
      </c>
      <c r="G457" s="272" t="s">
        <v>983</v>
      </c>
      <c r="H457" s="1"/>
    </row>
    <row r="458" spans="2:8" ht="17.25" x14ac:dyDescent="0.25">
      <c r="B458" s="1"/>
      <c r="C458" s="270" t="s">
        <v>485</v>
      </c>
      <c r="D458" s="161">
        <v>150</v>
      </c>
      <c r="E458" s="162">
        <f t="shared" si="6"/>
        <v>219.29824561403507</v>
      </c>
      <c r="F458" s="161">
        <v>15.9</v>
      </c>
      <c r="G458" s="272" t="s">
        <v>983</v>
      </c>
      <c r="H458" s="1"/>
    </row>
    <row r="459" spans="2:8" ht="17.25" x14ac:dyDescent="0.25">
      <c r="B459" s="1"/>
      <c r="C459" s="270" t="s">
        <v>486</v>
      </c>
      <c r="D459" s="161">
        <v>145.58465578487315</v>
      </c>
      <c r="E459" s="162">
        <f t="shared" si="6"/>
        <v>212.84306401297243</v>
      </c>
      <c r="F459" s="161">
        <v>12</v>
      </c>
      <c r="G459" s="272" t="s">
        <v>983</v>
      </c>
      <c r="H459" s="1"/>
    </row>
    <row r="460" spans="2:8" ht="17.25" x14ac:dyDescent="0.25">
      <c r="B460" s="1"/>
      <c r="C460" s="270" t="s">
        <v>487</v>
      </c>
      <c r="D460" s="161">
        <v>145.58465578487315</v>
      </c>
      <c r="E460" s="162">
        <f t="shared" si="6"/>
        <v>212.84306401297243</v>
      </c>
      <c r="F460" s="161">
        <v>12</v>
      </c>
      <c r="G460" s="272" t="s">
        <v>983</v>
      </c>
      <c r="H460" s="1"/>
    </row>
    <row r="461" spans="2:8" ht="17.25" x14ac:dyDescent="0.25">
      <c r="B461" s="1"/>
      <c r="C461" s="270" t="s">
        <v>488</v>
      </c>
      <c r="D461" s="161">
        <v>172.57672865345222</v>
      </c>
      <c r="E461" s="162">
        <f t="shared" si="6"/>
        <v>252.30515885007634</v>
      </c>
      <c r="F461" s="161">
        <v>12</v>
      </c>
      <c r="G461" s="272" t="s">
        <v>983</v>
      </c>
      <c r="H461" s="1"/>
    </row>
    <row r="462" spans="2:8" ht="17.25" x14ac:dyDescent="0.25">
      <c r="B462" s="1"/>
      <c r="C462" s="270" t="s">
        <v>489</v>
      </c>
      <c r="D462" s="161">
        <v>172.57672865345222</v>
      </c>
      <c r="E462" s="162">
        <f t="shared" si="6"/>
        <v>252.30515885007634</v>
      </c>
      <c r="F462" s="161">
        <v>12</v>
      </c>
      <c r="G462" s="272" t="s">
        <v>983</v>
      </c>
      <c r="H462" s="1"/>
    </row>
    <row r="463" spans="2:8" ht="17.25" x14ac:dyDescent="0.25">
      <c r="B463" s="1"/>
      <c r="C463" s="270" t="s">
        <v>490</v>
      </c>
      <c r="D463" s="161">
        <v>269.74228441236278</v>
      </c>
      <c r="E463" s="162">
        <f t="shared" si="6"/>
        <v>394.36006493035489</v>
      </c>
      <c r="F463" s="161">
        <v>14.5</v>
      </c>
      <c r="G463" s="272" t="s">
        <v>983</v>
      </c>
      <c r="H463" s="1"/>
    </row>
    <row r="464" spans="2:8" ht="17.25" x14ac:dyDescent="0.25">
      <c r="B464" s="1"/>
      <c r="C464" s="270" t="s">
        <v>491</v>
      </c>
      <c r="D464" s="161">
        <v>269.74228441236278</v>
      </c>
      <c r="E464" s="162">
        <f t="shared" si="6"/>
        <v>394.36006493035489</v>
      </c>
      <c r="F464" s="161">
        <v>14.5</v>
      </c>
      <c r="G464" s="272" t="s">
        <v>983</v>
      </c>
      <c r="H464" s="1"/>
    </row>
    <row r="465" spans="2:8" ht="17.25" x14ac:dyDescent="0.25">
      <c r="B465" s="1"/>
      <c r="C465" s="270" t="s">
        <v>492</v>
      </c>
      <c r="D465" s="161">
        <v>223.7</v>
      </c>
      <c r="E465" s="162">
        <f t="shared" si="6"/>
        <v>327.04678362573094</v>
      </c>
      <c r="F465" s="161">
        <v>2.4</v>
      </c>
      <c r="G465" s="272" t="s">
        <v>983</v>
      </c>
      <c r="H465" s="1"/>
    </row>
    <row r="466" spans="2:8" ht="17.25" x14ac:dyDescent="0.25">
      <c r="B466" s="1"/>
      <c r="C466" s="270" t="s">
        <v>493</v>
      </c>
      <c r="D466" s="161">
        <v>163.5</v>
      </c>
      <c r="E466" s="162">
        <f t="shared" si="6"/>
        <v>239.03508771929822</v>
      </c>
      <c r="F466" s="161">
        <v>14.5</v>
      </c>
      <c r="G466" s="272" t="s">
        <v>983</v>
      </c>
      <c r="H466" s="1"/>
    </row>
    <row r="467" spans="2:8" ht="17.25" x14ac:dyDescent="0.25">
      <c r="B467" s="1"/>
      <c r="C467" s="270" t="s">
        <v>494</v>
      </c>
      <c r="D467" s="161">
        <v>172</v>
      </c>
      <c r="E467" s="162">
        <f t="shared" si="6"/>
        <v>251.46198830409355</v>
      </c>
      <c r="F467" s="161">
        <v>15.9</v>
      </c>
      <c r="G467" s="272" t="s">
        <v>983</v>
      </c>
      <c r="H467" s="1"/>
    </row>
    <row r="468" spans="2:8" ht="17.25" x14ac:dyDescent="0.25">
      <c r="B468" s="1"/>
      <c r="C468" s="270" t="s">
        <v>495</v>
      </c>
      <c r="D468" s="161">
        <v>152.760316462471</v>
      </c>
      <c r="E468" s="162">
        <f t="shared" ref="E468:E531" si="7">D468/0.684</f>
        <v>223.33379599776461</v>
      </c>
      <c r="F468" s="161">
        <v>12</v>
      </c>
      <c r="G468" s="272" t="s">
        <v>983</v>
      </c>
      <c r="H468" s="1"/>
    </row>
    <row r="469" spans="2:8" ht="17.25" x14ac:dyDescent="0.25">
      <c r="B469" s="1"/>
      <c r="C469" s="270" t="s">
        <v>496</v>
      </c>
      <c r="D469" s="161">
        <v>237</v>
      </c>
      <c r="E469" s="162">
        <f t="shared" si="7"/>
        <v>346.4912280701754</v>
      </c>
      <c r="F469" s="161">
        <v>14.5</v>
      </c>
      <c r="G469" s="272" t="s">
        <v>983</v>
      </c>
      <c r="H469" s="1"/>
    </row>
    <row r="470" spans="2:8" ht="17.25" x14ac:dyDescent="0.25">
      <c r="B470" s="1"/>
      <c r="C470" s="270" t="s">
        <v>497</v>
      </c>
      <c r="D470" s="161">
        <v>165</v>
      </c>
      <c r="E470" s="162">
        <f t="shared" si="7"/>
        <v>241.22807017543857</v>
      </c>
      <c r="F470" s="161">
        <v>15.9</v>
      </c>
      <c r="G470" s="272" t="s">
        <v>983</v>
      </c>
      <c r="H470" s="1"/>
    </row>
    <row r="471" spans="2:8" ht="17.25" x14ac:dyDescent="0.25">
      <c r="B471" s="1"/>
      <c r="C471" s="270" t="s">
        <v>498</v>
      </c>
      <c r="D471" s="161">
        <v>150.20818885799804</v>
      </c>
      <c r="E471" s="162">
        <f t="shared" si="7"/>
        <v>219.6026152894708</v>
      </c>
      <c r="F471" s="161">
        <v>15.9</v>
      </c>
      <c r="G471" s="272" t="s">
        <v>983</v>
      </c>
      <c r="H471" s="1"/>
    </row>
    <row r="472" spans="2:8" ht="17.25" x14ac:dyDescent="0.25">
      <c r="B472" s="1"/>
      <c r="C472" s="270" t="s">
        <v>499</v>
      </c>
      <c r="D472" s="161">
        <v>154.30000000000001</v>
      </c>
      <c r="E472" s="162">
        <f t="shared" si="7"/>
        <v>225.58479532163742</v>
      </c>
      <c r="F472" s="161">
        <v>15.9</v>
      </c>
      <c r="G472" s="272" t="s">
        <v>983</v>
      </c>
      <c r="H472" s="1"/>
    </row>
    <row r="473" spans="2:8" ht="17.25" x14ac:dyDescent="0.25">
      <c r="B473" s="1"/>
      <c r="C473" s="270" t="s">
        <v>500</v>
      </c>
      <c r="D473" s="161">
        <v>154.30000000000001</v>
      </c>
      <c r="E473" s="162">
        <f t="shared" si="7"/>
        <v>225.58479532163742</v>
      </c>
      <c r="F473" s="161">
        <v>15.9</v>
      </c>
      <c r="G473" s="272" t="s">
        <v>983</v>
      </c>
      <c r="H473" s="1"/>
    </row>
    <row r="474" spans="2:8" ht="17.25" x14ac:dyDescent="0.25">
      <c r="B474" s="1"/>
      <c r="C474" s="270" t="s">
        <v>501</v>
      </c>
      <c r="D474" s="161">
        <v>161.94675050769001</v>
      </c>
      <c r="E474" s="162">
        <f t="shared" si="7"/>
        <v>236.76425512820177</v>
      </c>
      <c r="F474" s="161">
        <v>15.9</v>
      </c>
      <c r="G474" s="272" t="s">
        <v>983</v>
      </c>
      <c r="H474" s="1"/>
    </row>
    <row r="475" spans="2:8" ht="17.25" x14ac:dyDescent="0.25">
      <c r="B475" s="1"/>
      <c r="C475" s="270" t="s">
        <v>502</v>
      </c>
      <c r="D475" s="161">
        <v>161.94675050769001</v>
      </c>
      <c r="E475" s="162">
        <f t="shared" si="7"/>
        <v>236.76425512820177</v>
      </c>
      <c r="F475" s="161">
        <v>15.9</v>
      </c>
      <c r="G475" s="272" t="s">
        <v>983</v>
      </c>
      <c r="H475" s="1"/>
    </row>
    <row r="476" spans="2:8" ht="17.25" x14ac:dyDescent="0.25">
      <c r="B476" s="1"/>
      <c r="C476" s="270" t="s">
        <v>503</v>
      </c>
      <c r="D476" s="161">
        <v>137</v>
      </c>
      <c r="E476" s="162">
        <f t="shared" si="7"/>
        <v>200.29239766081869</v>
      </c>
      <c r="F476" s="161">
        <v>14.5</v>
      </c>
      <c r="G476" s="272" t="s">
        <v>983</v>
      </c>
      <c r="H476" s="1"/>
    </row>
    <row r="477" spans="2:8" ht="17.25" x14ac:dyDescent="0.25">
      <c r="B477" s="1"/>
      <c r="C477" s="270" t="s">
        <v>504</v>
      </c>
      <c r="D477" s="161">
        <v>150</v>
      </c>
      <c r="E477" s="162">
        <f t="shared" si="7"/>
        <v>219.29824561403507</v>
      </c>
      <c r="F477" s="161">
        <v>14.5</v>
      </c>
      <c r="G477" s="272" t="s">
        <v>983</v>
      </c>
      <c r="H477" s="1"/>
    </row>
    <row r="478" spans="2:8" ht="17.25" x14ac:dyDescent="0.25">
      <c r="B478" s="1"/>
      <c r="C478" s="270" t="s">
        <v>505</v>
      </c>
      <c r="D478" s="161">
        <v>150</v>
      </c>
      <c r="E478" s="162">
        <f t="shared" si="7"/>
        <v>219.29824561403507</v>
      </c>
      <c r="F478" s="161">
        <v>15.9</v>
      </c>
      <c r="G478" s="272" t="s">
        <v>983</v>
      </c>
      <c r="H478" s="1"/>
    </row>
    <row r="479" spans="2:8" ht="17.25" x14ac:dyDescent="0.25">
      <c r="B479" s="1"/>
      <c r="C479" s="270" t="s">
        <v>506</v>
      </c>
      <c r="D479" s="161">
        <v>270.02223592648227</v>
      </c>
      <c r="E479" s="162">
        <f t="shared" si="7"/>
        <v>394.76935076971091</v>
      </c>
      <c r="F479" s="161">
        <v>14.5</v>
      </c>
      <c r="G479" s="272" t="s">
        <v>983</v>
      </c>
      <c r="H479" s="1"/>
    </row>
    <row r="480" spans="2:8" ht="17.25" x14ac:dyDescent="0.25">
      <c r="B480" s="1"/>
      <c r="C480" s="270" t="s">
        <v>507</v>
      </c>
      <c r="D480" s="161">
        <v>300</v>
      </c>
      <c r="E480" s="162">
        <f t="shared" si="7"/>
        <v>438.59649122807014</v>
      </c>
      <c r="F480" s="161">
        <v>14.5</v>
      </c>
      <c r="G480" s="272" t="s">
        <v>983</v>
      </c>
      <c r="H480" s="1"/>
    </row>
    <row r="481" spans="2:8" ht="17.25" x14ac:dyDescent="0.25">
      <c r="B481" s="1"/>
      <c r="C481" s="270" t="s">
        <v>508</v>
      </c>
      <c r="D481" s="161">
        <v>116</v>
      </c>
      <c r="E481" s="162">
        <f t="shared" si="7"/>
        <v>169.59064327485379</v>
      </c>
      <c r="F481" s="161">
        <v>14.5</v>
      </c>
      <c r="G481" s="272" t="s">
        <v>983</v>
      </c>
      <c r="H481" s="1"/>
    </row>
    <row r="482" spans="2:8" ht="17.25" x14ac:dyDescent="0.25">
      <c r="B482" s="1"/>
      <c r="C482" s="270" t="s">
        <v>509</v>
      </c>
      <c r="D482" s="161">
        <v>187</v>
      </c>
      <c r="E482" s="162">
        <f t="shared" si="7"/>
        <v>273.39181286549706</v>
      </c>
      <c r="F482" s="161">
        <v>14.5</v>
      </c>
      <c r="G482" s="272" t="s">
        <v>983</v>
      </c>
      <c r="H482" s="1"/>
    </row>
    <row r="483" spans="2:8" ht="17.25" x14ac:dyDescent="0.25">
      <c r="B483" s="1"/>
      <c r="C483" s="270" t="s">
        <v>510</v>
      </c>
      <c r="D483" s="161">
        <v>137</v>
      </c>
      <c r="E483" s="162">
        <f t="shared" si="7"/>
        <v>200.29239766081869</v>
      </c>
      <c r="F483" s="161">
        <v>15.9</v>
      </c>
      <c r="G483" s="272" t="s">
        <v>983</v>
      </c>
      <c r="H483" s="1"/>
    </row>
    <row r="484" spans="2:8" ht="17.25" x14ac:dyDescent="0.25">
      <c r="B484" s="1"/>
      <c r="C484" s="270" t="s">
        <v>511</v>
      </c>
      <c r="D484" s="161">
        <v>137</v>
      </c>
      <c r="E484" s="162">
        <f t="shared" si="7"/>
        <v>200.29239766081869</v>
      </c>
      <c r="F484" s="161">
        <v>15.9</v>
      </c>
      <c r="G484" s="272" t="s">
        <v>983</v>
      </c>
      <c r="H484" s="1"/>
    </row>
    <row r="485" spans="2:8" ht="17.25" x14ac:dyDescent="0.25">
      <c r="B485" s="1"/>
      <c r="C485" s="270" t="s">
        <v>512</v>
      </c>
      <c r="D485" s="161">
        <v>172</v>
      </c>
      <c r="E485" s="162">
        <f t="shared" si="7"/>
        <v>251.46198830409355</v>
      </c>
      <c r="F485" s="161">
        <v>15.9</v>
      </c>
      <c r="G485" s="272" t="s">
        <v>983</v>
      </c>
      <c r="H485" s="1"/>
    </row>
    <row r="486" spans="2:8" ht="17.25" x14ac:dyDescent="0.25">
      <c r="B486" s="1"/>
      <c r="C486" s="270" t="s">
        <v>513</v>
      </c>
      <c r="D486" s="161">
        <v>172</v>
      </c>
      <c r="E486" s="162">
        <f t="shared" si="7"/>
        <v>251.46198830409355</v>
      </c>
      <c r="F486" s="161">
        <v>15.9</v>
      </c>
      <c r="G486" s="272" t="s">
        <v>983</v>
      </c>
      <c r="H486" s="1"/>
    </row>
    <row r="487" spans="2:8" ht="17.25" x14ac:dyDescent="0.25">
      <c r="B487" s="1"/>
      <c r="C487" s="270" t="s">
        <v>514</v>
      </c>
      <c r="D487" s="161">
        <v>86.435589377935713</v>
      </c>
      <c r="E487" s="162">
        <f t="shared" si="7"/>
        <v>126.36782072797618</v>
      </c>
      <c r="F487" s="161">
        <v>15.9</v>
      </c>
      <c r="G487" s="272" t="s">
        <v>983</v>
      </c>
      <c r="H487" s="1"/>
    </row>
    <row r="488" spans="2:8" ht="17.25" x14ac:dyDescent="0.25">
      <c r="B488" s="1"/>
      <c r="C488" s="270" t="s">
        <v>515</v>
      </c>
      <c r="D488" s="161">
        <v>67.5</v>
      </c>
      <c r="E488" s="162">
        <f t="shared" si="7"/>
        <v>98.68421052631578</v>
      </c>
      <c r="F488" s="161">
        <v>14.5</v>
      </c>
      <c r="G488" s="272" t="s">
        <v>983</v>
      </c>
      <c r="H488" s="1"/>
    </row>
    <row r="489" spans="2:8" ht="17.25" x14ac:dyDescent="0.25">
      <c r="B489" s="1"/>
      <c r="C489" s="270" t="s">
        <v>516</v>
      </c>
      <c r="D489" s="161">
        <v>103.5</v>
      </c>
      <c r="E489" s="162">
        <f t="shared" si="7"/>
        <v>151.31578947368419</v>
      </c>
      <c r="F489" s="161">
        <v>12</v>
      </c>
      <c r="G489" s="272" t="s">
        <v>983</v>
      </c>
      <c r="H489" s="1"/>
    </row>
    <row r="490" spans="2:8" ht="17.25" x14ac:dyDescent="0.25">
      <c r="B490" s="1"/>
      <c r="C490" s="270" t="s">
        <v>517</v>
      </c>
      <c r="D490" s="161">
        <v>79.05694150420949</v>
      </c>
      <c r="E490" s="162">
        <f t="shared" si="7"/>
        <v>115.58032383656358</v>
      </c>
      <c r="F490" s="161">
        <v>15.9</v>
      </c>
      <c r="G490" s="272" t="s">
        <v>983</v>
      </c>
      <c r="H490" s="1"/>
    </row>
    <row r="491" spans="2:8" ht="17.25" x14ac:dyDescent="0.25">
      <c r="B491" s="1"/>
      <c r="C491" s="270" t="s">
        <v>518</v>
      </c>
      <c r="D491" s="161">
        <v>171.62326606420663</v>
      </c>
      <c r="E491" s="162">
        <f t="shared" si="7"/>
        <v>250.91120769620852</v>
      </c>
      <c r="F491" s="161">
        <v>12</v>
      </c>
      <c r="G491" s="272" t="s">
        <v>983</v>
      </c>
      <c r="H491" s="1"/>
    </row>
    <row r="492" spans="2:8" ht="17.25" x14ac:dyDescent="0.25">
      <c r="B492" s="1"/>
      <c r="C492" s="270" t="s">
        <v>519</v>
      </c>
      <c r="D492" s="161">
        <v>171.62326606420663</v>
      </c>
      <c r="E492" s="162">
        <f t="shared" si="7"/>
        <v>250.91120769620852</v>
      </c>
      <c r="F492" s="161">
        <v>12</v>
      </c>
      <c r="G492" s="272" t="s">
        <v>983</v>
      </c>
      <c r="H492" s="1"/>
    </row>
    <row r="493" spans="2:8" ht="17.25" x14ac:dyDescent="0.25">
      <c r="B493" s="1"/>
      <c r="C493" s="270" t="s">
        <v>520</v>
      </c>
      <c r="D493" s="161">
        <v>195</v>
      </c>
      <c r="E493" s="162">
        <f t="shared" si="7"/>
        <v>285.08771929824559</v>
      </c>
      <c r="F493" s="161">
        <v>15.4</v>
      </c>
      <c r="G493" s="272" t="s">
        <v>985</v>
      </c>
      <c r="H493" s="1"/>
    </row>
    <row r="494" spans="2:8" ht="17.25" x14ac:dyDescent="0.25">
      <c r="B494" s="1"/>
      <c r="C494" s="270" t="s">
        <v>521</v>
      </c>
      <c r="D494" s="161">
        <v>207.91445609344143</v>
      </c>
      <c r="E494" s="162">
        <f t="shared" si="7"/>
        <v>303.96850306058684</v>
      </c>
      <c r="F494" s="161">
        <v>15.4</v>
      </c>
      <c r="G494" s="272" t="s">
        <v>985</v>
      </c>
      <c r="H494" s="1"/>
    </row>
    <row r="495" spans="2:8" ht="17.25" x14ac:dyDescent="0.25">
      <c r="B495" s="1"/>
      <c r="C495" s="270" t="s">
        <v>522</v>
      </c>
      <c r="D495" s="161">
        <v>150</v>
      </c>
      <c r="E495" s="162">
        <f t="shared" si="7"/>
        <v>219.29824561403507</v>
      </c>
      <c r="F495" s="161">
        <v>2.4</v>
      </c>
      <c r="G495" s="272" t="s">
        <v>985</v>
      </c>
      <c r="H495" s="1"/>
    </row>
    <row r="496" spans="2:8" ht="17.25" x14ac:dyDescent="0.25">
      <c r="B496" s="1"/>
      <c r="C496" s="270" t="s">
        <v>523</v>
      </c>
      <c r="D496" s="161">
        <v>150</v>
      </c>
      <c r="E496" s="162">
        <f t="shared" si="7"/>
        <v>219.29824561403507</v>
      </c>
      <c r="F496" s="161">
        <v>15.4</v>
      </c>
      <c r="G496" s="272" t="s">
        <v>985</v>
      </c>
      <c r="H496" s="1"/>
    </row>
    <row r="497" spans="2:8" ht="17.25" x14ac:dyDescent="0.25">
      <c r="B497" s="1"/>
      <c r="C497" s="270" t="s">
        <v>524</v>
      </c>
      <c r="D497" s="161">
        <v>237</v>
      </c>
      <c r="E497" s="162">
        <f t="shared" si="7"/>
        <v>346.4912280701754</v>
      </c>
      <c r="F497" s="161">
        <v>15.4</v>
      </c>
      <c r="G497" s="272" t="s">
        <v>985</v>
      </c>
      <c r="H497" s="1"/>
    </row>
    <row r="498" spans="2:8" ht="17.25" x14ac:dyDescent="0.25">
      <c r="B498" s="1"/>
      <c r="C498" s="270" t="s">
        <v>525</v>
      </c>
      <c r="D498" s="161">
        <v>231.01606232604604</v>
      </c>
      <c r="E498" s="162">
        <f t="shared" si="7"/>
        <v>337.74278117842988</v>
      </c>
      <c r="F498" s="161">
        <v>15.4</v>
      </c>
      <c r="G498" s="272" t="s">
        <v>985</v>
      </c>
      <c r="H498" s="1"/>
    </row>
    <row r="499" spans="2:8" ht="17.25" x14ac:dyDescent="0.25">
      <c r="B499" s="1"/>
      <c r="C499" s="270" t="s">
        <v>526</v>
      </c>
      <c r="D499" s="161">
        <v>222.19682394541235</v>
      </c>
      <c r="E499" s="162">
        <f t="shared" si="7"/>
        <v>324.84915781493032</v>
      </c>
      <c r="F499" s="161">
        <v>14.25</v>
      </c>
      <c r="G499" s="272" t="s">
        <v>985</v>
      </c>
      <c r="H499" s="1"/>
    </row>
    <row r="500" spans="2:8" ht="17.25" x14ac:dyDescent="0.25">
      <c r="B500" s="1"/>
      <c r="C500" s="270" t="s">
        <v>527</v>
      </c>
      <c r="D500" s="161">
        <v>207.91445609344143</v>
      </c>
      <c r="E500" s="162">
        <f t="shared" si="7"/>
        <v>303.96850306058684</v>
      </c>
      <c r="F500" s="161">
        <v>15.4</v>
      </c>
      <c r="G500" s="272" t="s">
        <v>985</v>
      </c>
      <c r="H500" s="1"/>
    </row>
    <row r="501" spans="2:8" ht="17.25" x14ac:dyDescent="0.25">
      <c r="B501" s="1"/>
      <c r="C501" s="270" t="s">
        <v>528</v>
      </c>
      <c r="D501" s="161">
        <v>183.41210428976601</v>
      </c>
      <c r="E501" s="162">
        <f t="shared" si="7"/>
        <v>268.14635130082746</v>
      </c>
      <c r="F501" s="161">
        <v>12</v>
      </c>
      <c r="G501" s="272" t="s">
        <v>985</v>
      </c>
      <c r="H501" s="1"/>
    </row>
    <row r="502" spans="2:8" ht="17.25" x14ac:dyDescent="0.25">
      <c r="B502" s="1"/>
      <c r="C502" s="270" t="s">
        <v>529</v>
      </c>
      <c r="D502" s="161"/>
      <c r="E502" s="162"/>
      <c r="F502" s="161"/>
      <c r="G502" s="272" t="s">
        <v>985</v>
      </c>
      <c r="H502" s="1"/>
    </row>
    <row r="503" spans="2:8" ht="17.25" x14ac:dyDescent="0.25">
      <c r="B503" s="1"/>
      <c r="C503" s="270" t="s">
        <v>530</v>
      </c>
      <c r="D503" s="161">
        <v>239.90129549243241</v>
      </c>
      <c r="E503" s="162">
        <f t="shared" si="7"/>
        <v>350.73288814683099</v>
      </c>
      <c r="F503" s="161">
        <v>14.25</v>
      </c>
      <c r="G503" s="272" t="s">
        <v>985</v>
      </c>
      <c r="H503" s="1"/>
    </row>
    <row r="504" spans="2:8" ht="17.25" x14ac:dyDescent="0.25">
      <c r="B504" s="1"/>
      <c r="C504" s="270" t="s">
        <v>531</v>
      </c>
      <c r="D504" s="161">
        <v>155.22502341677014</v>
      </c>
      <c r="E504" s="162">
        <f t="shared" si="7"/>
        <v>226.93716873796802</v>
      </c>
      <c r="F504" s="161">
        <v>14.25</v>
      </c>
      <c r="G504" s="272" t="s">
        <v>985</v>
      </c>
      <c r="H504" s="1"/>
    </row>
    <row r="505" spans="2:8" ht="17.25" x14ac:dyDescent="0.25">
      <c r="B505" s="1"/>
      <c r="C505" s="270" t="s">
        <v>532</v>
      </c>
      <c r="D505" s="161"/>
      <c r="E505" s="162"/>
      <c r="F505" s="161"/>
      <c r="G505" s="272" t="s">
        <v>985</v>
      </c>
      <c r="H505" s="1"/>
    </row>
    <row r="506" spans="2:8" ht="17.25" x14ac:dyDescent="0.25">
      <c r="B506" s="1"/>
      <c r="C506" s="270" t="s">
        <v>533</v>
      </c>
      <c r="D506" s="161">
        <v>155.22502341677014</v>
      </c>
      <c r="E506" s="162">
        <f t="shared" si="7"/>
        <v>226.93716873796802</v>
      </c>
      <c r="F506" s="161">
        <v>14.25</v>
      </c>
      <c r="G506" s="272" t="s">
        <v>985</v>
      </c>
      <c r="H506" s="1"/>
    </row>
    <row r="507" spans="2:8" ht="17.25" x14ac:dyDescent="0.25">
      <c r="B507" s="1"/>
      <c r="C507" s="270" t="s">
        <v>534</v>
      </c>
      <c r="D507" s="161"/>
      <c r="E507" s="162"/>
      <c r="F507" s="161"/>
      <c r="G507" s="272" t="s">
        <v>985</v>
      </c>
      <c r="H507" s="1"/>
    </row>
    <row r="508" spans="2:8" ht="17.25" x14ac:dyDescent="0.25">
      <c r="B508" s="1"/>
      <c r="C508" s="270" t="s">
        <v>535</v>
      </c>
      <c r="D508" s="161">
        <v>155.22502341677014</v>
      </c>
      <c r="E508" s="162">
        <f t="shared" si="7"/>
        <v>226.93716873796802</v>
      </c>
      <c r="F508" s="161">
        <v>14.25</v>
      </c>
      <c r="G508" s="272" t="s">
        <v>985</v>
      </c>
      <c r="H508" s="1"/>
    </row>
    <row r="509" spans="2:8" ht="17.25" x14ac:dyDescent="0.25">
      <c r="B509" s="1"/>
      <c r="C509" s="270" t="s">
        <v>536</v>
      </c>
      <c r="D509" s="161"/>
      <c r="E509" s="162"/>
      <c r="F509" s="161"/>
      <c r="G509" s="272" t="s">
        <v>985</v>
      </c>
      <c r="H509" s="1"/>
    </row>
    <row r="510" spans="2:8" ht="17.25" x14ac:dyDescent="0.25">
      <c r="B510" s="1"/>
      <c r="C510" s="270" t="s">
        <v>537</v>
      </c>
      <c r="D510" s="161">
        <v>155.22502341677014</v>
      </c>
      <c r="E510" s="162">
        <f t="shared" si="7"/>
        <v>226.93716873796802</v>
      </c>
      <c r="F510" s="161">
        <v>14.25</v>
      </c>
      <c r="G510" s="272" t="s">
        <v>985</v>
      </c>
      <c r="H510" s="1"/>
    </row>
    <row r="511" spans="2:8" ht="17.25" x14ac:dyDescent="0.25">
      <c r="B511" s="1"/>
      <c r="C511" s="270" t="s">
        <v>538</v>
      </c>
      <c r="D511" s="161"/>
      <c r="E511" s="162"/>
      <c r="F511" s="161"/>
      <c r="G511" s="272" t="s">
        <v>985</v>
      </c>
      <c r="H511" s="1"/>
    </row>
    <row r="512" spans="2:8" ht="17.25" x14ac:dyDescent="0.25">
      <c r="B512" s="1"/>
      <c r="C512" s="270" t="s">
        <v>539</v>
      </c>
      <c r="D512" s="161">
        <v>151.04896382856856</v>
      </c>
      <c r="E512" s="162">
        <f t="shared" si="7"/>
        <v>220.83181846281951</v>
      </c>
      <c r="F512" s="161">
        <v>15.4</v>
      </c>
      <c r="G512" s="272" t="s">
        <v>985</v>
      </c>
      <c r="H512" s="1"/>
    </row>
    <row r="513" spans="2:8" ht="17.25" x14ac:dyDescent="0.25">
      <c r="B513" s="1"/>
      <c r="C513" s="270" t="s">
        <v>540</v>
      </c>
      <c r="D513" s="161">
        <v>140</v>
      </c>
      <c r="E513" s="162">
        <f t="shared" si="7"/>
        <v>204.67836257309941</v>
      </c>
      <c r="F513" s="161">
        <v>15.4</v>
      </c>
      <c r="G513" s="272" t="s">
        <v>985</v>
      </c>
      <c r="H513" s="1"/>
    </row>
    <row r="514" spans="2:8" ht="17.25" x14ac:dyDescent="0.25">
      <c r="B514" s="1"/>
      <c r="C514" s="270" t="s">
        <v>541</v>
      </c>
      <c r="D514" s="161">
        <v>155.22502341677014</v>
      </c>
      <c r="E514" s="162">
        <f t="shared" si="7"/>
        <v>226.93716873796802</v>
      </c>
      <c r="F514" s="161">
        <v>14.25</v>
      </c>
      <c r="G514" s="272" t="s">
        <v>985</v>
      </c>
      <c r="H514" s="1"/>
    </row>
    <row r="515" spans="2:8" ht="17.25" x14ac:dyDescent="0.25">
      <c r="B515" s="1"/>
      <c r="C515" s="270" t="s">
        <v>542</v>
      </c>
      <c r="D515" s="161"/>
      <c r="E515" s="162"/>
      <c r="F515" s="161"/>
      <c r="G515" s="272" t="s">
        <v>985</v>
      </c>
      <c r="H515" s="1"/>
    </row>
    <row r="516" spans="2:8" ht="17.25" x14ac:dyDescent="0.25">
      <c r="B516" s="1"/>
      <c r="C516" s="270" t="s">
        <v>543</v>
      </c>
      <c r="D516" s="161">
        <v>155.22502341677014</v>
      </c>
      <c r="E516" s="162">
        <f t="shared" si="7"/>
        <v>226.93716873796802</v>
      </c>
      <c r="F516" s="161">
        <v>14.25</v>
      </c>
      <c r="G516" s="272" t="s">
        <v>985</v>
      </c>
      <c r="H516" s="1"/>
    </row>
    <row r="517" spans="2:8" ht="17.25" x14ac:dyDescent="0.25">
      <c r="B517" s="1"/>
      <c r="C517" s="270" t="s">
        <v>544</v>
      </c>
      <c r="D517" s="161"/>
      <c r="E517" s="162"/>
      <c r="F517" s="161"/>
      <c r="G517" s="272" t="s">
        <v>985</v>
      </c>
      <c r="H517" s="1"/>
    </row>
    <row r="518" spans="2:8" ht="17.25" x14ac:dyDescent="0.25">
      <c r="B518" s="1"/>
      <c r="C518" s="270" t="s">
        <v>545</v>
      </c>
      <c r="D518" s="161">
        <v>149.68114258130331</v>
      </c>
      <c r="E518" s="162">
        <f t="shared" si="7"/>
        <v>218.83207979722704</v>
      </c>
      <c r="F518" s="161">
        <v>14.5</v>
      </c>
      <c r="G518" s="272" t="s">
        <v>986</v>
      </c>
      <c r="H518" s="1"/>
    </row>
    <row r="519" spans="2:8" ht="17.25" x14ac:dyDescent="0.25">
      <c r="B519" s="1"/>
      <c r="C519" s="270" t="s">
        <v>546</v>
      </c>
      <c r="D519" s="161">
        <v>184.46619684315547</v>
      </c>
      <c r="E519" s="162">
        <f t="shared" si="7"/>
        <v>269.68742228531499</v>
      </c>
      <c r="F519" s="161">
        <v>14.5</v>
      </c>
      <c r="G519" s="272" t="s">
        <v>986</v>
      </c>
      <c r="H519" s="1"/>
    </row>
    <row r="520" spans="2:8" ht="17.25" x14ac:dyDescent="0.25">
      <c r="B520" s="1"/>
      <c r="C520" s="270" t="s">
        <v>547</v>
      </c>
      <c r="D520" s="161">
        <v>150</v>
      </c>
      <c r="E520" s="162">
        <f t="shared" si="7"/>
        <v>219.29824561403507</v>
      </c>
      <c r="F520" s="161">
        <v>15.35</v>
      </c>
      <c r="G520" s="272" t="s">
        <v>986</v>
      </c>
      <c r="H520" s="1"/>
    </row>
    <row r="521" spans="2:8" ht="17.25" x14ac:dyDescent="0.25">
      <c r="B521" s="1"/>
      <c r="C521" s="270" t="s">
        <v>548</v>
      </c>
      <c r="D521" s="161">
        <v>133</v>
      </c>
      <c r="E521" s="162">
        <f t="shared" si="7"/>
        <v>194.44444444444443</v>
      </c>
      <c r="F521" s="161">
        <v>14.5</v>
      </c>
      <c r="G521" s="272" t="s">
        <v>986</v>
      </c>
      <c r="H521" s="1"/>
    </row>
    <row r="522" spans="2:8" ht="17.25" x14ac:dyDescent="0.25">
      <c r="B522" s="1"/>
      <c r="C522" s="270" t="s">
        <v>549</v>
      </c>
      <c r="D522" s="161" t="s">
        <v>977</v>
      </c>
      <c r="E522" s="162"/>
      <c r="F522" s="161"/>
      <c r="G522" s="272" t="s">
        <v>986</v>
      </c>
      <c r="H522" s="1"/>
    </row>
    <row r="523" spans="2:8" ht="17.25" x14ac:dyDescent="0.25">
      <c r="B523" s="1"/>
      <c r="C523" s="270" t="s">
        <v>550</v>
      </c>
      <c r="D523" s="161">
        <v>204.8</v>
      </c>
      <c r="E523" s="162">
        <f t="shared" si="7"/>
        <v>299.41520467836256</v>
      </c>
      <c r="F523" s="161">
        <v>12</v>
      </c>
      <c r="G523" s="272" t="s">
        <v>986</v>
      </c>
      <c r="H523" s="1"/>
    </row>
    <row r="524" spans="2:8" ht="17.25" x14ac:dyDescent="0.25">
      <c r="B524" s="1"/>
      <c r="C524" s="270" t="s">
        <v>551</v>
      </c>
      <c r="D524" s="161" t="s">
        <v>977</v>
      </c>
      <c r="E524" s="162"/>
      <c r="F524" s="161"/>
      <c r="G524" s="272" t="s">
        <v>986</v>
      </c>
      <c r="H524" s="1"/>
    </row>
    <row r="525" spans="2:8" ht="17.25" x14ac:dyDescent="0.25">
      <c r="B525" s="1"/>
      <c r="C525" s="270" t="s">
        <v>552</v>
      </c>
      <c r="D525" s="161">
        <v>110</v>
      </c>
      <c r="E525" s="162">
        <f t="shared" si="7"/>
        <v>160.81871345029239</v>
      </c>
      <c r="F525" s="161">
        <v>14.5</v>
      </c>
      <c r="G525" s="272" t="s">
        <v>986</v>
      </c>
      <c r="H525" s="1"/>
    </row>
    <row r="526" spans="2:8" ht="17.25" x14ac:dyDescent="0.25">
      <c r="B526" s="1"/>
      <c r="C526" s="270" t="s">
        <v>553</v>
      </c>
      <c r="D526" s="161"/>
      <c r="E526" s="162"/>
      <c r="F526" s="161"/>
      <c r="G526" s="272" t="s">
        <v>986</v>
      </c>
      <c r="H526" s="1"/>
    </row>
    <row r="527" spans="2:8" ht="17.25" x14ac:dyDescent="0.25">
      <c r="B527" s="1"/>
      <c r="C527" s="270" t="s">
        <v>554</v>
      </c>
      <c r="D527" s="161">
        <v>170</v>
      </c>
      <c r="E527" s="162">
        <f t="shared" si="7"/>
        <v>248.53801169590642</v>
      </c>
      <c r="F527" s="161">
        <v>14.5</v>
      </c>
      <c r="G527" s="272" t="s">
        <v>986</v>
      </c>
      <c r="H527" s="1"/>
    </row>
    <row r="528" spans="2:8" ht="17.25" x14ac:dyDescent="0.25">
      <c r="B528" s="1"/>
      <c r="C528" s="270" t="s">
        <v>555</v>
      </c>
      <c r="D528" s="161">
        <v>206.49140417944761</v>
      </c>
      <c r="E528" s="162">
        <f t="shared" si="7"/>
        <v>301.88801780620992</v>
      </c>
      <c r="F528" s="161">
        <v>11</v>
      </c>
      <c r="G528" s="272" t="s">
        <v>986</v>
      </c>
      <c r="H528" s="1"/>
    </row>
    <row r="529" spans="2:8" ht="17.25" x14ac:dyDescent="0.25">
      <c r="B529" s="1"/>
      <c r="C529" s="270" t="s">
        <v>556</v>
      </c>
      <c r="D529" s="161"/>
      <c r="E529" s="162"/>
      <c r="F529" s="161"/>
      <c r="G529" s="272" t="s">
        <v>986</v>
      </c>
      <c r="H529" s="1"/>
    </row>
    <row r="530" spans="2:8" ht="17.25" x14ac:dyDescent="0.25">
      <c r="B530" s="1"/>
      <c r="C530" s="270" t="s">
        <v>557</v>
      </c>
      <c r="D530" s="161">
        <v>150</v>
      </c>
      <c r="E530" s="162">
        <f t="shared" si="7"/>
        <v>219.29824561403507</v>
      </c>
      <c r="F530" s="161">
        <v>14.5</v>
      </c>
      <c r="G530" s="272" t="s">
        <v>986</v>
      </c>
      <c r="H530" s="1"/>
    </row>
    <row r="531" spans="2:8" ht="17.25" x14ac:dyDescent="0.25">
      <c r="B531" s="1"/>
      <c r="C531" s="270" t="s">
        <v>558</v>
      </c>
      <c r="D531" s="161">
        <v>205.39595906443728</v>
      </c>
      <c r="E531" s="162">
        <f t="shared" si="7"/>
        <v>300.28648986028838</v>
      </c>
      <c r="F531" s="161">
        <v>11</v>
      </c>
      <c r="G531" s="272" t="s">
        <v>986</v>
      </c>
      <c r="H531" s="1"/>
    </row>
    <row r="532" spans="2:8" ht="17.25" x14ac:dyDescent="0.25">
      <c r="B532" s="1"/>
      <c r="C532" s="270" t="s">
        <v>559</v>
      </c>
      <c r="D532" s="161" t="s">
        <v>977</v>
      </c>
      <c r="E532" s="162"/>
      <c r="F532" s="161"/>
      <c r="G532" s="272" t="s">
        <v>986</v>
      </c>
      <c r="H532" s="1"/>
    </row>
    <row r="533" spans="2:8" ht="17.25" x14ac:dyDescent="0.25">
      <c r="B533" s="1"/>
      <c r="C533" s="270" t="s">
        <v>560</v>
      </c>
      <c r="D533" s="161">
        <v>137</v>
      </c>
      <c r="E533" s="162">
        <f t="shared" ref="E533:E595" si="8">D533/0.684</f>
        <v>200.29239766081869</v>
      </c>
      <c r="F533" s="161">
        <v>12</v>
      </c>
      <c r="G533" s="272" t="s">
        <v>986</v>
      </c>
      <c r="H533" s="1"/>
    </row>
    <row r="534" spans="2:8" ht="17.25" x14ac:dyDescent="0.25">
      <c r="B534" s="1"/>
      <c r="C534" s="270" t="s">
        <v>561</v>
      </c>
      <c r="D534" s="161">
        <v>150.19999999999999</v>
      </c>
      <c r="E534" s="162">
        <f t="shared" si="8"/>
        <v>219.59064327485376</v>
      </c>
      <c r="F534" s="161">
        <v>14.5</v>
      </c>
      <c r="G534" s="272" t="s">
        <v>987</v>
      </c>
      <c r="H534" s="1"/>
    </row>
    <row r="535" spans="2:8" ht="17.25" x14ac:dyDescent="0.25">
      <c r="B535" s="1"/>
      <c r="C535" s="270" t="s">
        <v>562</v>
      </c>
      <c r="D535" s="161"/>
      <c r="E535" s="162"/>
      <c r="F535" s="161"/>
      <c r="G535" s="272" t="s">
        <v>987</v>
      </c>
      <c r="H535" s="1"/>
    </row>
    <row r="536" spans="2:8" ht="17.25" x14ac:dyDescent="0.25">
      <c r="B536" s="1"/>
      <c r="C536" s="270" t="s">
        <v>563</v>
      </c>
      <c r="D536" s="161">
        <v>173.5</v>
      </c>
      <c r="E536" s="162">
        <f t="shared" si="8"/>
        <v>253.65497076023391</v>
      </c>
      <c r="F536" s="161">
        <v>12</v>
      </c>
      <c r="G536" s="272" t="s">
        <v>987</v>
      </c>
      <c r="H536" s="1"/>
    </row>
    <row r="537" spans="2:8" ht="17.25" x14ac:dyDescent="0.25">
      <c r="B537" s="1"/>
      <c r="C537" s="270" t="s">
        <v>564</v>
      </c>
      <c r="D537" s="161">
        <v>137</v>
      </c>
      <c r="E537" s="162">
        <f t="shared" si="8"/>
        <v>200.29239766081869</v>
      </c>
      <c r="F537" s="161">
        <v>14.5</v>
      </c>
      <c r="G537" s="272" t="s">
        <v>987</v>
      </c>
      <c r="H537" s="1"/>
    </row>
    <row r="538" spans="2:8" ht="17.25" x14ac:dyDescent="0.25">
      <c r="B538" s="1"/>
      <c r="C538" s="270" t="s">
        <v>565</v>
      </c>
      <c r="D538" s="161"/>
      <c r="E538" s="162"/>
      <c r="F538" s="161"/>
      <c r="G538" s="272" t="s">
        <v>987</v>
      </c>
      <c r="H538" s="1"/>
    </row>
    <row r="539" spans="2:8" ht="17.25" x14ac:dyDescent="0.25">
      <c r="B539" s="1"/>
      <c r="C539" s="270" t="s">
        <v>566</v>
      </c>
      <c r="D539" s="161">
        <v>137</v>
      </c>
      <c r="E539" s="162">
        <f t="shared" si="8"/>
        <v>200.29239766081869</v>
      </c>
      <c r="F539" s="161">
        <v>14.5</v>
      </c>
      <c r="G539" s="272" t="s">
        <v>988</v>
      </c>
      <c r="H539" s="1"/>
    </row>
    <row r="540" spans="2:8" ht="17.25" x14ac:dyDescent="0.25">
      <c r="B540" s="1"/>
      <c r="C540" s="270" t="s">
        <v>567</v>
      </c>
      <c r="D540" s="161">
        <v>137</v>
      </c>
      <c r="E540" s="162">
        <f t="shared" si="8"/>
        <v>200.29239766081869</v>
      </c>
      <c r="F540" s="161">
        <v>14.5</v>
      </c>
      <c r="G540" s="272" t="s">
        <v>988</v>
      </c>
      <c r="H540" s="1"/>
    </row>
    <row r="541" spans="2:8" ht="17.25" x14ac:dyDescent="0.25">
      <c r="B541" s="1"/>
      <c r="C541" s="270" t="s">
        <v>568</v>
      </c>
      <c r="D541" s="161">
        <v>108</v>
      </c>
      <c r="E541" s="162">
        <f t="shared" si="8"/>
        <v>157.89473684210526</v>
      </c>
      <c r="F541" s="161">
        <v>14.5</v>
      </c>
      <c r="G541" s="272" t="s">
        <v>987</v>
      </c>
      <c r="H541" s="1"/>
    </row>
    <row r="542" spans="2:8" ht="17.25" x14ac:dyDescent="0.25">
      <c r="B542" s="1"/>
      <c r="C542" s="270" t="s">
        <v>569</v>
      </c>
      <c r="D542" s="161">
        <v>108</v>
      </c>
      <c r="E542" s="162">
        <f t="shared" si="8"/>
        <v>157.89473684210526</v>
      </c>
      <c r="F542" s="161">
        <v>14.5</v>
      </c>
      <c r="G542" s="272" t="s">
        <v>987</v>
      </c>
      <c r="H542" s="1"/>
    </row>
    <row r="543" spans="2:8" ht="17.25" x14ac:dyDescent="0.25">
      <c r="B543" s="1"/>
      <c r="C543" s="270" t="s">
        <v>570</v>
      </c>
      <c r="D543" s="161"/>
      <c r="E543" s="162"/>
      <c r="F543" s="161"/>
      <c r="G543" s="272" t="s">
        <v>987</v>
      </c>
      <c r="H543" s="1"/>
    </row>
    <row r="544" spans="2:8" ht="17.25" x14ac:dyDescent="0.25">
      <c r="B544" s="1"/>
      <c r="C544" s="270" t="s">
        <v>571</v>
      </c>
      <c r="D544" s="161">
        <v>150.19999999999999</v>
      </c>
      <c r="E544" s="162">
        <f t="shared" si="8"/>
        <v>219.59064327485376</v>
      </c>
      <c r="F544" s="161">
        <v>14.5</v>
      </c>
      <c r="G544" s="272" t="s">
        <v>987</v>
      </c>
      <c r="H544" s="1"/>
    </row>
    <row r="545" spans="2:8" ht="17.25" x14ac:dyDescent="0.25">
      <c r="B545" s="1"/>
      <c r="C545" s="270" t="s">
        <v>572</v>
      </c>
      <c r="D545" s="161"/>
      <c r="E545" s="162"/>
      <c r="F545" s="161"/>
      <c r="G545" s="272" t="s">
        <v>987</v>
      </c>
      <c r="H545" s="1"/>
    </row>
    <row r="546" spans="2:8" ht="17.25" x14ac:dyDescent="0.25">
      <c r="B546" s="1"/>
      <c r="C546" s="270" t="s">
        <v>573</v>
      </c>
      <c r="D546" s="161">
        <v>160</v>
      </c>
      <c r="E546" s="162">
        <f t="shared" si="8"/>
        <v>233.91812865497073</v>
      </c>
      <c r="F546" s="161">
        <v>15.95</v>
      </c>
      <c r="G546" s="272" t="s">
        <v>987</v>
      </c>
      <c r="H546" s="1"/>
    </row>
    <row r="547" spans="2:8" ht="17.25" x14ac:dyDescent="0.25">
      <c r="B547" s="1"/>
      <c r="C547" s="270" t="s">
        <v>574</v>
      </c>
      <c r="D547" s="161"/>
      <c r="E547" s="162"/>
      <c r="F547" s="161"/>
      <c r="G547" s="272" t="s">
        <v>989</v>
      </c>
      <c r="H547" s="1"/>
    </row>
    <row r="548" spans="2:8" ht="17.25" x14ac:dyDescent="0.25">
      <c r="B548" s="1"/>
      <c r="C548" s="270" t="s">
        <v>575</v>
      </c>
      <c r="D548" s="161"/>
      <c r="E548" s="162"/>
      <c r="F548" s="161"/>
      <c r="G548" s="272" t="s">
        <v>989</v>
      </c>
      <c r="H548" s="1"/>
    </row>
    <row r="549" spans="2:8" ht="17.25" x14ac:dyDescent="0.25">
      <c r="B549" s="1"/>
      <c r="C549" s="270" t="s">
        <v>576</v>
      </c>
      <c r="D549" s="161">
        <v>187</v>
      </c>
      <c r="E549" s="162">
        <f t="shared" si="8"/>
        <v>273.39181286549706</v>
      </c>
      <c r="F549" s="161">
        <v>14.5</v>
      </c>
      <c r="G549" s="272" t="s">
        <v>987</v>
      </c>
      <c r="H549" s="1"/>
    </row>
    <row r="550" spans="2:8" ht="17.25" x14ac:dyDescent="0.25">
      <c r="B550" s="1"/>
      <c r="C550" s="270" t="s">
        <v>577</v>
      </c>
      <c r="D550" s="161"/>
      <c r="E550" s="162"/>
      <c r="F550" s="161"/>
      <c r="G550" s="272" t="s">
        <v>987</v>
      </c>
      <c r="H550" s="1"/>
    </row>
    <row r="551" spans="2:8" ht="17.25" x14ac:dyDescent="0.25">
      <c r="B551" s="1"/>
      <c r="C551" s="270" t="s">
        <v>578</v>
      </c>
      <c r="D551" s="161"/>
      <c r="E551" s="162"/>
      <c r="F551" s="161"/>
      <c r="G551" s="272" t="s">
        <v>988</v>
      </c>
      <c r="H551" s="1"/>
    </row>
    <row r="552" spans="2:8" ht="17.25" x14ac:dyDescent="0.25">
      <c r="B552" s="1"/>
      <c r="C552" s="270" t="s">
        <v>579</v>
      </c>
      <c r="D552" s="161"/>
      <c r="E552" s="162"/>
      <c r="F552" s="161"/>
      <c r="G552" s="272" t="s">
        <v>989</v>
      </c>
      <c r="H552" s="1"/>
    </row>
    <row r="553" spans="2:8" ht="17.25" x14ac:dyDescent="0.25">
      <c r="B553" s="1"/>
      <c r="C553" s="270" t="s">
        <v>580</v>
      </c>
      <c r="D553" s="161"/>
      <c r="E553" s="162"/>
      <c r="F553" s="161"/>
      <c r="G553" s="272" t="s">
        <v>989</v>
      </c>
      <c r="H553" s="1"/>
    </row>
    <row r="554" spans="2:8" ht="17.25" x14ac:dyDescent="0.25">
      <c r="B554" s="1"/>
      <c r="C554" s="270" t="s">
        <v>581</v>
      </c>
      <c r="D554" s="161"/>
      <c r="E554" s="162"/>
      <c r="F554" s="161"/>
      <c r="G554" s="272" t="s">
        <v>988</v>
      </c>
      <c r="H554" s="1"/>
    </row>
    <row r="555" spans="2:8" ht="17.25" x14ac:dyDescent="0.25">
      <c r="B555" s="1"/>
      <c r="C555" s="270" t="s">
        <v>582</v>
      </c>
      <c r="D555" s="161">
        <v>185.4</v>
      </c>
      <c r="E555" s="162">
        <f t="shared" si="8"/>
        <v>271.05263157894734</v>
      </c>
      <c r="F555" s="161">
        <v>12</v>
      </c>
      <c r="G555" s="272" t="s">
        <v>988</v>
      </c>
      <c r="H555" s="1"/>
    </row>
    <row r="556" spans="2:8" ht="17.25" x14ac:dyDescent="0.25">
      <c r="B556" s="1"/>
      <c r="C556" s="270" t="s">
        <v>583</v>
      </c>
      <c r="D556" s="161"/>
      <c r="E556" s="162"/>
      <c r="F556" s="161"/>
      <c r="G556" s="272" t="s">
        <v>988</v>
      </c>
      <c r="H556" s="1"/>
    </row>
    <row r="557" spans="2:8" ht="17.25" x14ac:dyDescent="0.25">
      <c r="B557" s="1"/>
      <c r="C557" s="270" t="s">
        <v>584</v>
      </c>
      <c r="D557" s="161">
        <v>179.7</v>
      </c>
      <c r="E557" s="162">
        <f t="shared" si="8"/>
        <v>262.71929824561397</v>
      </c>
      <c r="F557" s="161">
        <v>14.5</v>
      </c>
      <c r="G557" s="272" t="s">
        <v>988</v>
      </c>
      <c r="H557" s="1"/>
    </row>
    <row r="558" spans="2:8" ht="17.25" x14ac:dyDescent="0.25">
      <c r="B558" s="1"/>
      <c r="C558" s="270" t="s">
        <v>585</v>
      </c>
      <c r="D558" s="161">
        <v>172</v>
      </c>
      <c r="E558" s="162">
        <f t="shared" si="8"/>
        <v>251.46198830409355</v>
      </c>
      <c r="F558" s="161">
        <v>15.95</v>
      </c>
      <c r="G558" s="272" t="s">
        <v>990</v>
      </c>
      <c r="H558" s="1"/>
    </row>
    <row r="559" spans="2:8" ht="17.25" x14ac:dyDescent="0.25">
      <c r="B559" s="1"/>
      <c r="C559" s="270" t="s">
        <v>586</v>
      </c>
      <c r="D559" s="161">
        <v>150.19999999999999</v>
      </c>
      <c r="E559" s="162">
        <f t="shared" si="8"/>
        <v>219.59064327485376</v>
      </c>
      <c r="F559" s="161">
        <v>14.5</v>
      </c>
      <c r="G559" s="272" t="s">
        <v>988</v>
      </c>
      <c r="H559" s="1"/>
    </row>
    <row r="560" spans="2:8" ht="17.25" x14ac:dyDescent="0.25">
      <c r="B560" s="1"/>
      <c r="C560" s="270" t="s">
        <v>587</v>
      </c>
      <c r="D560" s="161"/>
      <c r="E560" s="162"/>
      <c r="F560" s="161"/>
      <c r="G560" s="272" t="s">
        <v>988</v>
      </c>
      <c r="H560" s="1"/>
    </row>
    <row r="561" spans="2:8" ht="17.25" x14ac:dyDescent="0.25">
      <c r="B561" s="1"/>
      <c r="C561" s="270" t="s">
        <v>588</v>
      </c>
      <c r="D561" s="161"/>
      <c r="E561" s="162"/>
      <c r="F561" s="161"/>
      <c r="G561" s="272" t="s">
        <v>989</v>
      </c>
      <c r="H561" s="1"/>
    </row>
    <row r="562" spans="2:8" ht="17.25" x14ac:dyDescent="0.25">
      <c r="B562" s="1"/>
      <c r="C562" s="270" t="s">
        <v>589</v>
      </c>
      <c r="D562" s="161"/>
      <c r="E562" s="162"/>
      <c r="F562" s="161"/>
      <c r="G562" s="272" t="s">
        <v>989</v>
      </c>
      <c r="H562" s="1"/>
    </row>
    <row r="563" spans="2:8" ht="17.25" x14ac:dyDescent="0.25">
      <c r="B563" s="1"/>
      <c r="C563" s="270" t="s">
        <v>590</v>
      </c>
      <c r="D563" s="161"/>
      <c r="E563" s="162"/>
      <c r="F563" s="161"/>
      <c r="G563" s="272" t="s">
        <v>989</v>
      </c>
      <c r="H563" s="1"/>
    </row>
    <row r="564" spans="2:8" ht="17.25" x14ac:dyDescent="0.25">
      <c r="B564" s="1"/>
      <c r="C564" s="270" t="s">
        <v>591</v>
      </c>
      <c r="D564" s="161"/>
      <c r="E564" s="162"/>
      <c r="F564" s="161"/>
      <c r="G564" s="272" t="s">
        <v>989</v>
      </c>
      <c r="H564" s="1"/>
    </row>
    <row r="565" spans="2:8" ht="17.25" x14ac:dyDescent="0.25">
      <c r="B565" s="1"/>
      <c r="C565" s="270" t="s">
        <v>592</v>
      </c>
      <c r="D565" s="161">
        <v>75</v>
      </c>
      <c r="E565" s="162">
        <f t="shared" si="8"/>
        <v>109.64912280701753</v>
      </c>
      <c r="F565" s="161">
        <v>14.5</v>
      </c>
      <c r="G565" s="272" t="s">
        <v>988</v>
      </c>
      <c r="H565" s="1"/>
    </row>
    <row r="566" spans="2:8" ht="17.25" x14ac:dyDescent="0.25">
      <c r="B566" s="1"/>
      <c r="C566" s="270" t="s">
        <v>593</v>
      </c>
      <c r="D566" s="161"/>
      <c r="E566" s="162"/>
      <c r="F566" s="161"/>
      <c r="G566" s="272" t="s">
        <v>988</v>
      </c>
      <c r="H566" s="1"/>
    </row>
    <row r="567" spans="2:8" ht="17.25" x14ac:dyDescent="0.25">
      <c r="B567" s="1"/>
      <c r="C567" s="270" t="s">
        <v>594</v>
      </c>
      <c r="D567" s="161"/>
      <c r="E567" s="162"/>
      <c r="F567" s="161"/>
      <c r="G567" s="272" t="s">
        <v>987</v>
      </c>
      <c r="H567" s="1"/>
    </row>
    <row r="568" spans="2:8" ht="17.25" x14ac:dyDescent="0.25">
      <c r="B568" s="1"/>
      <c r="C568" s="270" t="s">
        <v>595</v>
      </c>
      <c r="D568" s="161">
        <v>187</v>
      </c>
      <c r="E568" s="162">
        <f t="shared" si="8"/>
        <v>273.39181286549706</v>
      </c>
      <c r="F568" s="161">
        <v>14.5</v>
      </c>
      <c r="G568" s="272" t="s">
        <v>988</v>
      </c>
      <c r="H568" s="1"/>
    </row>
    <row r="569" spans="2:8" ht="17.25" x14ac:dyDescent="0.25">
      <c r="B569" s="1"/>
      <c r="C569" s="270" t="s">
        <v>596</v>
      </c>
      <c r="D569" s="161">
        <v>150.19999999999999</v>
      </c>
      <c r="E569" s="162">
        <f t="shared" si="8"/>
        <v>219.59064327485376</v>
      </c>
      <c r="F569" s="161">
        <v>14.5</v>
      </c>
      <c r="G569" s="272" t="s">
        <v>987</v>
      </c>
      <c r="H569" s="1"/>
    </row>
    <row r="570" spans="2:8" ht="17.25" x14ac:dyDescent="0.25">
      <c r="B570" s="1"/>
      <c r="C570" s="270" t="s">
        <v>597</v>
      </c>
      <c r="D570" s="161"/>
      <c r="E570" s="162"/>
      <c r="F570" s="161"/>
      <c r="G570" s="272" t="s">
        <v>988</v>
      </c>
      <c r="H570" s="1"/>
    </row>
    <row r="571" spans="2:8" ht="17.25" x14ac:dyDescent="0.25">
      <c r="B571" s="1"/>
      <c r="C571" s="270" t="s">
        <v>598</v>
      </c>
      <c r="D571" s="161"/>
      <c r="E571" s="162"/>
      <c r="F571" s="161"/>
      <c r="G571" s="272" t="s">
        <v>987</v>
      </c>
      <c r="H571" s="1"/>
    </row>
    <row r="572" spans="2:8" ht="17.25" x14ac:dyDescent="0.25">
      <c r="B572" s="1"/>
      <c r="C572" s="270" t="s">
        <v>599</v>
      </c>
      <c r="D572" s="161"/>
      <c r="E572" s="162"/>
      <c r="F572" s="161"/>
      <c r="G572" s="272" t="s">
        <v>989</v>
      </c>
      <c r="H572" s="1"/>
    </row>
    <row r="573" spans="2:8" ht="17.25" x14ac:dyDescent="0.25">
      <c r="B573" s="1"/>
      <c r="C573" s="270" t="s">
        <v>600</v>
      </c>
      <c r="D573" s="161">
        <v>219.4</v>
      </c>
      <c r="E573" s="162">
        <f t="shared" si="8"/>
        <v>320.76023391812862</v>
      </c>
      <c r="F573" s="161">
        <v>14.5</v>
      </c>
      <c r="G573" s="272" t="s">
        <v>988</v>
      </c>
      <c r="H573" s="1"/>
    </row>
    <row r="574" spans="2:8" ht="17.25" x14ac:dyDescent="0.25">
      <c r="B574" s="1"/>
      <c r="C574" s="270" t="s">
        <v>601</v>
      </c>
      <c r="D574" s="161">
        <v>173.5</v>
      </c>
      <c r="E574" s="162">
        <f t="shared" si="8"/>
        <v>253.65497076023391</v>
      </c>
      <c r="F574" s="161">
        <v>12</v>
      </c>
      <c r="G574" s="272" t="s">
        <v>988</v>
      </c>
      <c r="H574" s="1"/>
    </row>
    <row r="575" spans="2:8" ht="17.25" x14ac:dyDescent="0.25">
      <c r="B575" s="1"/>
      <c r="C575" s="270" t="s">
        <v>602</v>
      </c>
      <c r="D575" s="161"/>
      <c r="E575" s="162"/>
      <c r="F575" s="161"/>
      <c r="G575" s="272" t="s">
        <v>988</v>
      </c>
      <c r="H575" s="1"/>
    </row>
    <row r="576" spans="2:8" ht="17.25" x14ac:dyDescent="0.25">
      <c r="B576" s="1"/>
      <c r="C576" s="270" t="s">
        <v>603</v>
      </c>
      <c r="D576" s="161">
        <v>128.80000000000001</v>
      </c>
      <c r="E576" s="162">
        <f t="shared" si="8"/>
        <v>188.30409356725147</v>
      </c>
      <c r="F576" s="161">
        <v>14.5</v>
      </c>
      <c r="G576" s="272" t="s">
        <v>991</v>
      </c>
      <c r="H576" s="1"/>
    </row>
    <row r="577" spans="2:8" ht="17.25" x14ac:dyDescent="0.25">
      <c r="B577" s="1"/>
      <c r="C577" s="270" t="s">
        <v>604</v>
      </c>
      <c r="D577" s="161"/>
      <c r="E577" s="162"/>
      <c r="F577" s="161"/>
      <c r="G577" s="272" t="s">
        <v>991</v>
      </c>
      <c r="H577" s="1"/>
    </row>
    <row r="578" spans="2:8" ht="17.25" x14ac:dyDescent="0.25">
      <c r="B578" s="1"/>
      <c r="C578" s="270" t="s">
        <v>605</v>
      </c>
      <c r="D578" s="161">
        <v>155.19999999999999</v>
      </c>
      <c r="E578" s="162">
        <f t="shared" si="8"/>
        <v>226.90058479532161</v>
      </c>
      <c r="F578" s="161">
        <v>14.5</v>
      </c>
      <c r="G578" s="272" t="s">
        <v>991</v>
      </c>
      <c r="H578" s="1"/>
    </row>
    <row r="579" spans="2:8" ht="17.25" x14ac:dyDescent="0.25">
      <c r="B579" s="1"/>
      <c r="C579" s="270" t="s">
        <v>606</v>
      </c>
      <c r="D579" s="161"/>
      <c r="E579" s="162"/>
      <c r="F579" s="161"/>
      <c r="G579" s="272" t="s">
        <v>991</v>
      </c>
      <c r="H579" s="1"/>
    </row>
    <row r="580" spans="2:8" ht="17.25" x14ac:dyDescent="0.25">
      <c r="B580" s="1"/>
      <c r="C580" s="270" t="s">
        <v>607</v>
      </c>
      <c r="D580" s="161">
        <v>150</v>
      </c>
      <c r="E580" s="162">
        <f t="shared" si="8"/>
        <v>219.29824561403507</v>
      </c>
      <c r="F580" s="161">
        <v>15.95</v>
      </c>
      <c r="G580" s="272" t="s">
        <v>990</v>
      </c>
      <c r="H580" s="1"/>
    </row>
    <row r="581" spans="2:8" ht="17.25" x14ac:dyDescent="0.25">
      <c r="B581" s="1"/>
      <c r="C581" s="270" t="s">
        <v>608</v>
      </c>
      <c r="D581" s="161"/>
      <c r="E581" s="162"/>
      <c r="F581" s="161"/>
      <c r="G581" s="272" t="s">
        <v>989</v>
      </c>
      <c r="H581" s="1"/>
    </row>
    <row r="582" spans="2:8" ht="17.25" x14ac:dyDescent="0.25">
      <c r="B582" s="1"/>
      <c r="C582" s="270" t="s">
        <v>609</v>
      </c>
      <c r="D582" s="161">
        <v>150</v>
      </c>
      <c r="E582" s="162">
        <f t="shared" si="8"/>
        <v>219.29824561403507</v>
      </c>
      <c r="F582" s="161">
        <v>15.95</v>
      </c>
      <c r="G582" s="272" t="s">
        <v>988</v>
      </c>
      <c r="H582" s="1"/>
    </row>
    <row r="583" spans="2:8" ht="17.25" x14ac:dyDescent="0.25">
      <c r="B583" s="1"/>
      <c r="C583" s="270" t="s">
        <v>610</v>
      </c>
      <c r="D583" s="161">
        <v>261</v>
      </c>
      <c r="E583" s="162">
        <f t="shared" si="8"/>
        <v>381.57894736842104</v>
      </c>
      <c r="F583" s="161">
        <v>15.95</v>
      </c>
      <c r="G583" s="272" t="s">
        <v>988</v>
      </c>
      <c r="H583" s="1"/>
    </row>
    <row r="584" spans="2:8" ht="17.25" x14ac:dyDescent="0.25">
      <c r="B584" s="1"/>
      <c r="C584" s="270" t="s">
        <v>611</v>
      </c>
      <c r="D584" s="161">
        <v>187</v>
      </c>
      <c r="E584" s="162">
        <f t="shared" si="8"/>
        <v>273.39181286549706</v>
      </c>
      <c r="F584" s="161">
        <v>15.95</v>
      </c>
      <c r="G584" s="272" t="s">
        <v>988</v>
      </c>
      <c r="H584" s="1"/>
    </row>
    <row r="585" spans="2:8" ht="17.25" x14ac:dyDescent="0.25">
      <c r="B585" s="1"/>
      <c r="C585" s="270" t="s">
        <v>612</v>
      </c>
      <c r="D585" s="161"/>
      <c r="E585" s="162"/>
      <c r="F585" s="161"/>
      <c r="G585" s="272" t="s">
        <v>987</v>
      </c>
      <c r="H585" s="1"/>
    </row>
    <row r="586" spans="2:8" ht="17.25" x14ac:dyDescent="0.25">
      <c r="B586" s="1"/>
      <c r="C586" s="270" t="s">
        <v>613</v>
      </c>
      <c r="D586" s="161"/>
      <c r="E586" s="162"/>
      <c r="F586" s="161"/>
      <c r="G586" s="272" t="s">
        <v>987</v>
      </c>
      <c r="H586" s="1"/>
    </row>
    <row r="587" spans="2:8" ht="17.25" x14ac:dyDescent="0.25">
      <c r="B587" s="1"/>
      <c r="C587" s="270" t="s">
        <v>614</v>
      </c>
      <c r="D587" s="161">
        <v>91.4</v>
      </c>
      <c r="E587" s="162">
        <f t="shared" si="8"/>
        <v>133.62573099415204</v>
      </c>
      <c r="F587" s="161">
        <v>14.5</v>
      </c>
      <c r="G587" s="272" t="s">
        <v>991</v>
      </c>
      <c r="H587" s="1"/>
    </row>
    <row r="588" spans="2:8" ht="17.25" x14ac:dyDescent="0.25">
      <c r="B588" s="1"/>
      <c r="C588" s="270" t="s">
        <v>615</v>
      </c>
      <c r="D588" s="161"/>
      <c r="E588" s="162"/>
      <c r="F588" s="161"/>
      <c r="G588" s="272" t="s">
        <v>991</v>
      </c>
      <c r="H588" s="1"/>
    </row>
    <row r="589" spans="2:8" ht="17.25" x14ac:dyDescent="0.25">
      <c r="B589" s="1"/>
      <c r="C589" s="270" t="s">
        <v>616</v>
      </c>
      <c r="D589" s="161"/>
      <c r="E589" s="162"/>
      <c r="F589" s="161"/>
      <c r="G589" s="272" t="s">
        <v>988</v>
      </c>
      <c r="H589" s="1"/>
    </row>
    <row r="590" spans="2:8" ht="17.25" x14ac:dyDescent="0.25">
      <c r="B590" s="1"/>
      <c r="C590" s="270" t="s">
        <v>617</v>
      </c>
      <c r="D590" s="161">
        <v>106</v>
      </c>
      <c r="E590" s="162">
        <f t="shared" si="8"/>
        <v>154.97076023391813</v>
      </c>
      <c r="F590" s="161">
        <v>14.5</v>
      </c>
      <c r="G590" s="272" t="s">
        <v>991</v>
      </c>
      <c r="H590" s="1"/>
    </row>
    <row r="591" spans="2:8" ht="17.25" x14ac:dyDescent="0.25">
      <c r="B591" s="1"/>
      <c r="C591" s="270" t="s">
        <v>618</v>
      </c>
      <c r="D591" s="161">
        <v>155.19999999999999</v>
      </c>
      <c r="E591" s="162">
        <f t="shared" si="8"/>
        <v>226.90058479532161</v>
      </c>
      <c r="F591" s="161">
        <v>14.5</v>
      </c>
      <c r="G591" s="272" t="s">
        <v>992</v>
      </c>
      <c r="H591" s="1"/>
    </row>
    <row r="592" spans="2:8" ht="17.25" x14ac:dyDescent="0.25">
      <c r="B592" s="1"/>
      <c r="C592" s="270" t="s">
        <v>619</v>
      </c>
      <c r="D592" s="161">
        <v>155.19999999999999</v>
      </c>
      <c r="E592" s="162">
        <f t="shared" si="8"/>
        <v>226.90058479532161</v>
      </c>
      <c r="F592" s="161">
        <v>14.5</v>
      </c>
      <c r="G592" s="272" t="s">
        <v>992</v>
      </c>
      <c r="H592" s="1"/>
    </row>
    <row r="593" spans="2:8" ht="17.25" x14ac:dyDescent="0.25">
      <c r="B593" s="1"/>
      <c r="C593" s="270" t="s">
        <v>620</v>
      </c>
      <c r="D593" s="161">
        <v>237</v>
      </c>
      <c r="E593" s="162">
        <f t="shared" si="8"/>
        <v>346.4912280701754</v>
      </c>
      <c r="F593" s="161">
        <v>15.95</v>
      </c>
      <c r="G593" s="272" t="s">
        <v>990</v>
      </c>
      <c r="H593" s="1"/>
    </row>
    <row r="594" spans="2:8" ht="17.25" x14ac:dyDescent="0.25">
      <c r="B594" s="1"/>
      <c r="C594" s="270" t="s">
        <v>621</v>
      </c>
      <c r="D594" s="161"/>
      <c r="E594" s="162"/>
      <c r="F594" s="161"/>
      <c r="G594" s="272" t="s">
        <v>988</v>
      </c>
      <c r="H594" s="1"/>
    </row>
    <row r="595" spans="2:8" ht="17.25" x14ac:dyDescent="0.25">
      <c r="B595" s="1"/>
      <c r="C595" s="270" t="s">
        <v>622</v>
      </c>
      <c r="D595" s="161">
        <v>116</v>
      </c>
      <c r="E595" s="162">
        <f t="shared" si="8"/>
        <v>169.59064327485379</v>
      </c>
      <c r="F595" s="161">
        <v>14.5</v>
      </c>
      <c r="G595" s="272" t="s">
        <v>990</v>
      </c>
      <c r="H595" s="1"/>
    </row>
    <row r="596" spans="2:8" ht="17.25" x14ac:dyDescent="0.25">
      <c r="B596" s="1"/>
      <c r="C596" s="270" t="s">
        <v>623</v>
      </c>
      <c r="D596" s="161"/>
      <c r="E596" s="162"/>
      <c r="F596" s="161"/>
      <c r="G596" s="272" t="s">
        <v>990</v>
      </c>
      <c r="H596" s="1"/>
    </row>
    <row r="597" spans="2:8" ht="17.25" x14ac:dyDescent="0.25">
      <c r="B597" s="1"/>
      <c r="C597" s="270" t="s">
        <v>624</v>
      </c>
      <c r="D597" s="161">
        <v>75</v>
      </c>
      <c r="E597" s="162">
        <f t="shared" ref="E597:E659" si="9">D597/0.684</f>
        <v>109.64912280701753</v>
      </c>
      <c r="F597" s="161">
        <v>12</v>
      </c>
      <c r="G597" s="272" t="s">
        <v>988</v>
      </c>
      <c r="H597" s="1"/>
    </row>
    <row r="598" spans="2:8" ht="17.25" x14ac:dyDescent="0.25">
      <c r="B598" s="1"/>
      <c r="C598" s="270" t="s">
        <v>625</v>
      </c>
      <c r="D598" s="161">
        <v>75</v>
      </c>
      <c r="E598" s="162">
        <f t="shared" si="9"/>
        <v>109.64912280701753</v>
      </c>
      <c r="F598" s="161">
        <v>15.95</v>
      </c>
      <c r="G598" s="272" t="s">
        <v>991</v>
      </c>
      <c r="H598" s="1"/>
    </row>
    <row r="599" spans="2:8" ht="17.25" x14ac:dyDescent="0.25">
      <c r="B599" s="1"/>
      <c r="C599" s="270" t="s">
        <v>626</v>
      </c>
      <c r="D599" s="161">
        <v>137</v>
      </c>
      <c r="E599" s="162">
        <f t="shared" si="9"/>
        <v>200.29239766081869</v>
      </c>
      <c r="F599" s="161">
        <v>14.5</v>
      </c>
      <c r="G599" s="272" t="s">
        <v>987</v>
      </c>
      <c r="H599" s="1"/>
    </row>
    <row r="600" spans="2:8" ht="17.25" x14ac:dyDescent="0.25">
      <c r="B600" s="1"/>
      <c r="C600" s="270" t="s">
        <v>627</v>
      </c>
      <c r="D600" s="161">
        <v>261</v>
      </c>
      <c r="E600" s="162">
        <f t="shared" si="9"/>
        <v>381.57894736842104</v>
      </c>
      <c r="F600" s="161">
        <v>15.95</v>
      </c>
      <c r="G600" s="272" t="s">
        <v>990</v>
      </c>
      <c r="H600" s="1"/>
    </row>
    <row r="601" spans="2:8" ht="17.25" x14ac:dyDescent="0.25">
      <c r="B601" s="1"/>
      <c r="C601" s="270" t="s">
        <v>628</v>
      </c>
      <c r="D601" s="161"/>
      <c r="E601" s="162"/>
      <c r="F601" s="161"/>
      <c r="G601" s="272" t="s">
        <v>989</v>
      </c>
      <c r="H601" s="1"/>
    </row>
    <row r="602" spans="2:8" ht="17.25" x14ac:dyDescent="0.25">
      <c r="B602" s="1"/>
      <c r="C602" s="270" t="s">
        <v>629</v>
      </c>
      <c r="D602" s="161"/>
      <c r="E602" s="162"/>
      <c r="F602" s="161"/>
      <c r="G602" s="272" t="s">
        <v>989</v>
      </c>
      <c r="H602" s="1"/>
    </row>
    <row r="603" spans="2:8" ht="17.25" x14ac:dyDescent="0.25">
      <c r="B603" s="1"/>
      <c r="C603" s="270" t="s">
        <v>630</v>
      </c>
      <c r="D603" s="161">
        <v>137</v>
      </c>
      <c r="E603" s="162">
        <f t="shared" si="9"/>
        <v>200.29239766081869</v>
      </c>
      <c r="F603" s="161">
        <v>14.5</v>
      </c>
      <c r="G603" s="272" t="s">
        <v>990</v>
      </c>
      <c r="H603" s="1"/>
    </row>
    <row r="604" spans="2:8" ht="17.25" x14ac:dyDescent="0.25">
      <c r="B604" s="1"/>
      <c r="C604" s="270" t="s">
        <v>631</v>
      </c>
      <c r="D604" s="161">
        <v>137</v>
      </c>
      <c r="E604" s="162">
        <f t="shared" si="9"/>
        <v>200.29239766081869</v>
      </c>
      <c r="F604" s="161">
        <v>14.5</v>
      </c>
      <c r="G604" s="272" t="s">
        <v>990</v>
      </c>
      <c r="H604" s="1"/>
    </row>
    <row r="605" spans="2:8" ht="17.25" x14ac:dyDescent="0.25">
      <c r="B605" s="1"/>
      <c r="C605" s="270" t="s">
        <v>632</v>
      </c>
      <c r="D605" s="161"/>
      <c r="E605" s="162"/>
      <c r="F605" s="161"/>
      <c r="G605" s="272" t="s">
        <v>987</v>
      </c>
      <c r="H605" s="1"/>
    </row>
    <row r="606" spans="2:8" ht="17.25" x14ac:dyDescent="0.25">
      <c r="B606" s="1"/>
      <c r="C606" s="270" t="s">
        <v>633</v>
      </c>
      <c r="D606" s="161"/>
      <c r="E606" s="162"/>
      <c r="F606" s="161"/>
      <c r="G606" s="272" t="s">
        <v>987</v>
      </c>
      <c r="H606" s="1"/>
    </row>
    <row r="607" spans="2:8" ht="17.25" x14ac:dyDescent="0.25">
      <c r="B607" s="1"/>
      <c r="C607" s="270" t="s">
        <v>634</v>
      </c>
      <c r="D607" s="161">
        <v>116</v>
      </c>
      <c r="E607" s="162">
        <f t="shared" si="9"/>
        <v>169.59064327485379</v>
      </c>
      <c r="F607" s="161">
        <v>14.5</v>
      </c>
      <c r="G607" s="272" t="s">
        <v>988</v>
      </c>
      <c r="H607" s="1"/>
    </row>
    <row r="608" spans="2:8" ht="17.25" x14ac:dyDescent="0.25">
      <c r="B608" s="1"/>
      <c r="C608" s="270" t="s">
        <v>635</v>
      </c>
      <c r="D608" s="161">
        <v>213</v>
      </c>
      <c r="E608" s="162">
        <f t="shared" si="9"/>
        <v>311.40350877192981</v>
      </c>
      <c r="F608" s="161">
        <v>14.5</v>
      </c>
      <c r="G608" s="272" t="s">
        <v>991</v>
      </c>
      <c r="H608" s="1"/>
    </row>
    <row r="609" spans="2:8" ht="17.25" x14ac:dyDescent="0.25">
      <c r="B609" s="1"/>
      <c r="C609" s="270" t="s">
        <v>636</v>
      </c>
      <c r="D609" s="161"/>
      <c r="E609" s="162"/>
      <c r="F609" s="161"/>
      <c r="G609" s="272" t="s">
        <v>988</v>
      </c>
      <c r="H609" s="1"/>
    </row>
    <row r="610" spans="2:8" ht="17.25" x14ac:dyDescent="0.25">
      <c r="B610" s="1"/>
      <c r="C610" s="270" t="s">
        <v>637</v>
      </c>
      <c r="D610" s="161"/>
      <c r="E610" s="162"/>
      <c r="F610" s="161"/>
      <c r="G610" s="272" t="s">
        <v>988</v>
      </c>
      <c r="H610" s="1"/>
    </row>
    <row r="611" spans="2:8" ht="17.25" x14ac:dyDescent="0.25">
      <c r="B611" s="1"/>
      <c r="C611" s="270" t="s">
        <v>638</v>
      </c>
      <c r="D611" s="161">
        <v>150</v>
      </c>
      <c r="E611" s="162">
        <f t="shared" si="9"/>
        <v>219.29824561403507</v>
      </c>
      <c r="F611" s="161">
        <v>12</v>
      </c>
      <c r="G611" s="272" t="s">
        <v>990</v>
      </c>
      <c r="H611" s="1"/>
    </row>
    <row r="612" spans="2:8" ht="17.25" x14ac:dyDescent="0.25">
      <c r="B612" s="1"/>
      <c r="C612" s="270" t="s">
        <v>639</v>
      </c>
      <c r="D612" s="161"/>
      <c r="E612" s="162"/>
      <c r="F612" s="161"/>
      <c r="G612" s="272" t="s">
        <v>989</v>
      </c>
      <c r="H612" s="1"/>
    </row>
    <row r="613" spans="2:8" ht="17.25" x14ac:dyDescent="0.25">
      <c r="B613" s="1"/>
      <c r="C613" s="270" t="s">
        <v>640</v>
      </c>
      <c r="D613" s="161"/>
      <c r="E613" s="162"/>
      <c r="F613" s="161"/>
      <c r="G613" s="272" t="s">
        <v>989</v>
      </c>
      <c r="H613" s="1"/>
    </row>
    <row r="614" spans="2:8" ht="17.25" x14ac:dyDescent="0.25">
      <c r="B614" s="1"/>
      <c r="C614" s="270" t="s">
        <v>641</v>
      </c>
      <c r="D614" s="161">
        <v>185.4</v>
      </c>
      <c r="E614" s="162">
        <f t="shared" si="9"/>
        <v>271.05263157894734</v>
      </c>
      <c r="F614" s="161">
        <v>12</v>
      </c>
      <c r="G614" s="272" t="s">
        <v>991</v>
      </c>
      <c r="H614" s="1"/>
    </row>
    <row r="615" spans="2:8" ht="17.25" x14ac:dyDescent="0.25">
      <c r="B615" s="1"/>
      <c r="C615" s="270" t="s">
        <v>642</v>
      </c>
      <c r="D615" s="161"/>
      <c r="E615" s="162"/>
      <c r="F615" s="161"/>
      <c r="G615" s="272" t="s">
        <v>991</v>
      </c>
      <c r="H615" s="1"/>
    </row>
    <row r="616" spans="2:8" ht="17.25" x14ac:dyDescent="0.25">
      <c r="B616" s="1"/>
      <c r="C616" s="270" t="s">
        <v>643</v>
      </c>
      <c r="D616" s="161">
        <v>173.5</v>
      </c>
      <c r="E616" s="162">
        <f t="shared" si="9"/>
        <v>253.65497076023391</v>
      </c>
      <c r="F616" s="161">
        <v>12</v>
      </c>
      <c r="G616" s="272" t="s">
        <v>991</v>
      </c>
      <c r="H616" s="1"/>
    </row>
    <row r="617" spans="2:8" ht="17.25" x14ac:dyDescent="0.25">
      <c r="B617" s="1"/>
      <c r="C617" s="270" t="s">
        <v>644</v>
      </c>
      <c r="D617" s="161"/>
      <c r="E617" s="162"/>
      <c r="F617" s="161"/>
      <c r="G617" s="272" t="s">
        <v>991</v>
      </c>
      <c r="H617" s="1"/>
    </row>
    <row r="618" spans="2:8" ht="17.25" x14ac:dyDescent="0.25">
      <c r="B618" s="1"/>
      <c r="C618" s="270" t="s">
        <v>645</v>
      </c>
      <c r="D618" s="161">
        <v>173.5</v>
      </c>
      <c r="E618" s="162">
        <f t="shared" si="9"/>
        <v>253.65497076023391</v>
      </c>
      <c r="F618" s="161">
        <v>12</v>
      </c>
      <c r="G618" s="272" t="s">
        <v>987</v>
      </c>
      <c r="H618" s="1"/>
    </row>
    <row r="619" spans="2:8" ht="17.25" x14ac:dyDescent="0.25">
      <c r="B619" s="1"/>
      <c r="C619" s="270" t="s">
        <v>646</v>
      </c>
      <c r="D619" s="161"/>
      <c r="E619" s="162"/>
      <c r="F619" s="161"/>
      <c r="G619" s="272" t="s">
        <v>987</v>
      </c>
      <c r="H619" s="1"/>
    </row>
    <row r="620" spans="2:8" ht="17.25" x14ac:dyDescent="0.25">
      <c r="B620" s="1"/>
      <c r="C620" s="270" t="s">
        <v>647</v>
      </c>
      <c r="D620" s="161">
        <v>79.099999999999994</v>
      </c>
      <c r="E620" s="162">
        <f t="shared" si="9"/>
        <v>115.64327485380116</v>
      </c>
      <c r="F620" s="161">
        <v>14.5</v>
      </c>
      <c r="G620" s="272" t="s">
        <v>990</v>
      </c>
      <c r="H620" s="1"/>
    </row>
    <row r="621" spans="2:8" ht="17.25" x14ac:dyDescent="0.25">
      <c r="B621" s="1"/>
      <c r="C621" s="270" t="s">
        <v>648</v>
      </c>
      <c r="D621" s="161">
        <v>137</v>
      </c>
      <c r="E621" s="162">
        <f t="shared" si="9"/>
        <v>200.29239766081869</v>
      </c>
      <c r="F621" s="161">
        <v>14.5</v>
      </c>
      <c r="G621" s="272" t="s">
        <v>991</v>
      </c>
      <c r="H621" s="1"/>
    </row>
    <row r="622" spans="2:8" ht="17.25" x14ac:dyDescent="0.25">
      <c r="B622" s="1"/>
      <c r="C622" s="270" t="s">
        <v>649</v>
      </c>
      <c r="D622" s="161">
        <v>237</v>
      </c>
      <c r="E622" s="162">
        <f t="shared" si="9"/>
        <v>346.4912280701754</v>
      </c>
      <c r="F622" s="161">
        <v>15.95</v>
      </c>
      <c r="G622" s="272" t="s">
        <v>991</v>
      </c>
      <c r="H622" s="1"/>
    </row>
    <row r="623" spans="2:8" ht="17.25" x14ac:dyDescent="0.25">
      <c r="B623" s="1"/>
      <c r="C623" s="270" t="s">
        <v>650</v>
      </c>
      <c r="D623" s="161">
        <v>172</v>
      </c>
      <c r="E623" s="162">
        <f t="shared" si="9"/>
        <v>251.46198830409355</v>
      </c>
      <c r="F623" s="161">
        <v>12</v>
      </c>
      <c r="G623" s="272" t="s">
        <v>991</v>
      </c>
      <c r="H623" s="1"/>
    </row>
    <row r="624" spans="2:8" ht="17.25" x14ac:dyDescent="0.25">
      <c r="B624" s="1"/>
      <c r="C624" s="270" t="s">
        <v>651</v>
      </c>
      <c r="D624" s="161"/>
      <c r="E624" s="162"/>
      <c r="F624" s="161"/>
      <c r="G624" s="272" t="s">
        <v>991</v>
      </c>
      <c r="H624" s="1"/>
    </row>
    <row r="625" spans="2:8" ht="17.25" x14ac:dyDescent="0.25">
      <c r="B625" s="1"/>
      <c r="C625" s="270" t="s">
        <v>652</v>
      </c>
      <c r="D625" s="161">
        <v>137</v>
      </c>
      <c r="E625" s="162">
        <f t="shared" si="9"/>
        <v>200.29239766081869</v>
      </c>
      <c r="F625" s="161">
        <v>15.95</v>
      </c>
      <c r="G625" s="272" t="s">
        <v>988</v>
      </c>
      <c r="H625" s="1"/>
    </row>
    <row r="626" spans="2:8" ht="17.25" x14ac:dyDescent="0.25">
      <c r="B626" s="1"/>
      <c r="C626" s="270" t="s">
        <v>653</v>
      </c>
      <c r="D626" s="161"/>
      <c r="E626" s="162"/>
      <c r="F626" s="161"/>
      <c r="G626" s="272" t="s">
        <v>988</v>
      </c>
      <c r="H626" s="1"/>
    </row>
    <row r="627" spans="2:8" ht="17.25" x14ac:dyDescent="0.25">
      <c r="B627" s="1"/>
      <c r="C627" s="270" t="s">
        <v>654</v>
      </c>
      <c r="D627" s="161">
        <v>75</v>
      </c>
      <c r="E627" s="162">
        <f t="shared" si="9"/>
        <v>109.64912280701753</v>
      </c>
      <c r="F627" s="161">
        <v>15.95</v>
      </c>
      <c r="G627" s="272" t="s">
        <v>991</v>
      </c>
      <c r="H627" s="1"/>
    </row>
    <row r="628" spans="2:8" ht="17.25" x14ac:dyDescent="0.25">
      <c r="B628" s="1"/>
      <c r="C628" s="270" t="s">
        <v>655</v>
      </c>
      <c r="D628" s="161">
        <v>106</v>
      </c>
      <c r="E628" s="162">
        <f t="shared" si="9"/>
        <v>154.97076023391813</v>
      </c>
      <c r="F628" s="161">
        <v>14.5</v>
      </c>
      <c r="G628" s="272" t="s">
        <v>991</v>
      </c>
      <c r="H628" s="1"/>
    </row>
    <row r="629" spans="2:8" ht="17.25" x14ac:dyDescent="0.25">
      <c r="B629" s="1"/>
      <c r="C629" s="270" t="s">
        <v>656</v>
      </c>
      <c r="D629" s="161">
        <v>90</v>
      </c>
      <c r="E629" s="162">
        <f t="shared" si="9"/>
        <v>131.57894736842104</v>
      </c>
      <c r="F629" s="161">
        <v>12</v>
      </c>
      <c r="G629" s="272" t="s">
        <v>991</v>
      </c>
      <c r="H629" s="1"/>
    </row>
    <row r="630" spans="2:8" ht="17.25" x14ac:dyDescent="0.25">
      <c r="B630" s="1"/>
      <c r="C630" s="270" t="s">
        <v>657</v>
      </c>
      <c r="D630" s="161"/>
      <c r="E630" s="162"/>
      <c r="F630" s="161"/>
      <c r="G630" s="272" t="s">
        <v>988</v>
      </c>
      <c r="H630" s="1"/>
    </row>
    <row r="631" spans="2:8" ht="17.25" x14ac:dyDescent="0.25">
      <c r="B631" s="1"/>
      <c r="C631" s="270" t="s">
        <v>658</v>
      </c>
      <c r="D631" s="161"/>
      <c r="E631" s="162"/>
      <c r="F631" s="161"/>
      <c r="G631" s="272" t="s">
        <v>988</v>
      </c>
      <c r="H631" s="1"/>
    </row>
    <row r="632" spans="2:8" ht="17.25" x14ac:dyDescent="0.25">
      <c r="B632" s="1"/>
      <c r="C632" s="270" t="s">
        <v>659</v>
      </c>
      <c r="D632" s="161">
        <v>219.4</v>
      </c>
      <c r="E632" s="162">
        <f t="shared" si="9"/>
        <v>320.76023391812862</v>
      </c>
      <c r="F632" s="161">
        <v>14.5</v>
      </c>
      <c r="G632" s="272" t="s">
        <v>991</v>
      </c>
      <c r="H632" s="1"/>
    </row>
    <row r="633" spans="2:8" ht="17.25" x14ac:dyDescent="0.25">
      <c r="B633" s="1"/>
      <c r="C633" s="270" t="s">
        <v>660</v>
      </c>
      <c r="D633" s="161"/>
      <c r="E633" s="162"/>
      <c r="F633" s="161"/>
      <c r="G633" s="272" t="s">
        <v>988</v>
      </c>
      <c r="H633" s="1"/>
    </row>
    <row r="634" spans="2:8" ht="17.25" x14ac:dyDescent="0.25">
      <c r="B634" s="1"/>
      <c r="C634" s="270" t="s">
        <v>661</v>
      </c>
      <c r="D634" s="161">
        <v>137</v>
      </c>
      <c r="E634" s="162">
        <f t="shared" si="9"/>
        <v>200.29239766081869</v>
      </c>
      <c r="F634" s="161">
        <v>14.5</v>
      </c>
      <c r="G634" s="272" t="s">
        <v>987</v>
      </c>
      <c r="H634" s="1"/>
    </row>
    <row r="635" spans="2:8" ht="17.25" x14ac:dyDescent="0.25">
      <c r="B635" s="1"/>
      <c r="C635" s="270" t="s">
        <v>662</v>
      </c>
      <c r="D635" s="161"/>
      <c r="E635" s="162"/>
      <c r="F635" s="161"/>
      <c r="G635" s="272" t="s">
        <v>989</v>
      </c>
      <c r="H635" s="1"/>
    </row>
    <row r="636" spans="2:8" ht="17.25" x14ac:dyDescent="0.25">
      <c r="B636" s="1"/>
      <c r="C636" s="270" t="s">
        <v>663</v>
      </c>
      <c r="D636" s="161"/>
      <c r="E636" s="162"/>
      <c r="F636" s="161"/>
      <c r="G636" s="272" t="s">
        <v>989</v>
      </c>
      <c r="H636" s="1"/>
    </row>
    <row r="637" spans="2:8" ht="17.25" x14ac:dyDescent="0.25">
      <c r="B637" s="1"/>
      <c r="C637" s="270" t="s">
        <v>664</v>
      </c>
      <c r="D637" s="161">
        <v>150</v>
      </c>
      <c r="E637" s="162">
        <f t="shared" si="9"/>
        <v>219.29824561403507</v>
      </c>
      <c r="F637" s="161">
        <v>14.5</v>
      </c>
      <c r="G637" s="272" t="s">
        <v>990</v>
      </c>
      <c r="H637" s="1"/>
    </row>
    <row r="638" spans="2:8" ht="17.25" x14ac:dyDescent="0.25">
      <c r="B638" s="1"/>
      <c r="C638" s="270" t="s">
        <v>665</v>
      </c>
      <c r="D638" s="161">
        <v>261</v>
      </c>
      <c r="E638" s="162">
        <f t="shared" si="9"/>
        <v>381.57894736842104</v>
      </c>
      <c r="F638" s="161">
        <v>12</v>
      </c>
      <c r="G638" s="272" t="s">
        <v>987</v>
      </c>
      <c r="H638" s="1"/>
    </row>
    <row r="639" spans="2:8" ht="17.25" x14ac:dyDescent="0.25">
      <c r="B639" s="1"/>
      <c r="C639" s="270" t="s">
        <v>666</v>
      </c>
      <c r="D639" s="161"/>
      <c r="E639" s="162"/>
      <c r="F639" s="161"/>
      <c r="G639" s="272" t="s">
        <v>987</v>
      </c>
      <c r="H639" s="1"/>
    </row>
    <row r="640" spans="2:8" ht="17.25" x14ac:dyDescent="0.25">
      <c r="B640" s="1"/>
      <c r="C640" s="270" t="s">
        <v>667</v>
      </c>
      <c r="D640" s="161"/>
      <c r="E640" s="162"/>
      <c r="F640" s="161"/>
      <c r="G640" s="272" t="s">
        <v>989</v>
      </c>
      <c r="H640" s="1"/>
    </row>
    <row r="641" spans="2:8" ht="17.25" x14ac:dyDescent="0.25">
      <c r="B641" s="1"/>
      <c r="C641" s="270" t="s">
        <v>668</v>
      </c>
      <c r="D641" s="161">
        <v>150</v>
      </c>
      <c r="E641" s="162">
        <f t="shared" si="9"/>
        <v>219.29824561403507</v>
      </c>
      <c r="F641" s="161">
        <v>14.5</v>
      </c>
      <c r="G641" s="272" t="s">
        <v>991</v>
      </c>
      <c r="H641" s="1"/>
    </row>
    <row r="642" spans="2:8" ht="17.25" x14ac:dyDescent="0.25">
      <c r="B642" s="1"/>
      <c r="C642" s="270" t="s">
        <v>669</v>
      </c>
      <c r="D642" s="161">
        <v>116</v>
      </c>
      <c r="E642" s="162">
        <f t="shared" si="9"/>
        <v>169.59064327485379</v>
      </c>
      <c r="F642" s="161">
        <v>14.5</v>
      </c>
      <c r="G642" s="272" t="s">
        <v>991</v>
      </c>
      <c r="H642" s="1"/>
    </row>
    <row r="643" spans="2:8" ht="17.25" x14ac:dyDescent="0.25">
      <c r="B643" s="1"/>
      <c r="C643" s="270" t="s">
        <v>670</v>
      </c>
      <c r="D643" s="161">
        <v>137</v>
      </c>
      <c r="E643" s="162">
        <f t="shared" si="9"/>
        <v>200.29239766081869</v>
      </c>
      <c r="F643" s="161">
        <v>14.5</v>
      </c>
      <c r="G643" s="272" t="s">
        <v>990</v>
      </c>
      <c r="H643" s="1"/>
    </row>
    <row r="644" spans="2:8" ht="17.25" x14ac:dyDescent="0.25">
      <c r="B644" s="1"/>
      <c r="C644" s="270" t="s">
        <v>671</v>
      </c>
      <c r="D644" s="161">
        <v>116</v>
      </c>
      <c r="E644" s="162">
        <f t="shared" si="9"/>
        <v>169.59064327485379</v>
      </c>
      <c r="F644" s="161">
        <v>14.5</v>
      </c>
      <c r="G644" s="272" t="s">
        <v>991</v>
      </c>
      <c r="H644" s="1"/>
    </row>
    <row r="645" spans="2:8" ht="17.25" x14ac:dyDescent="0.25">
      <c r="B645" s="1"/>
      <c r="C645" s="270" t="s">
        <v>672</v>
      </c>
      <c r="D645" s="161">
        <v>261.10000000000002</v>
      </c>
      <c r="E645" s="162">
        <f t="shared" si="9"/>
        <v>381.72514619883043</v>
      </c>
      <c r="F645" s="161">
        <v>12</v>
      </c>
      <c r="G645" s="272" t="s">
        <v>990</v>
      </c>
      <c r="H645" s="1"/>
    </row>
    <row r="646" spans="2:8" ht="17.25" x14ac:dyDescent="0.25">
      <c r="B646" s="1"/>
      <c r="C646" s="270" t="s">
        <v>673</v>
      </c>
      <c r="D646" s="161">
        <v>75</v>
      </c>
      <c r="E646" s="162">
        <f t="shared" si="9"/>
        <v>109.64912280701753</v>
      </c>
      <c r="F646" s="161">
        <v>12</v>
      </c>
      <c r="G646" s="272" t="s">
        <v>991</v>
      </c>
      <c r="H646" s="1"/>
    </row>
    <row r="647" spans="2:8" ht="17.25" x14ac:dyDescent="0.25">
      <c r="B647" s="1"/>
      <c r="C647" s="270" t="s">
        <v>674</v>
      </c>
      <c r="D647" s="161"/>
      <c r="E647" s="162"/>
      <c r="F647" s="161"/>
      <c r="G647" s="272" t="s">
        <v>991</v>
      </c>
      <c r="H647" s="1"/>
    </row>
    <row r="648" spans="2:8" ht="17.25" x14ac:dyDescent="0.25">
      <c r="B648" s="1"/>
      <c r="C648" s="270" t="s">
        <v>675</v>
      </c>
      <c r="D648" s="161">
        <v>91.5</v>
      </c>
      <c r="E648" s="162">
        <f t="shared" si="9"/>
        <v>133.7719298245614</v>
      </c>
      <c r="F648" s="161">
        <v>14.5</v>
      </c>
      <c r="G648" s="272" t="s">
        <v>991</v>
      </c>
      <c r="H648" s="1"/>
    </row>
    <row r="649" spans="2:8" ht="17.25" x14ac:dyDescent="0.25">
      <c r="B649" s="1"/>
      <c r="C649" s="270" t="s">
        <v>676</v>
      </c>
      <c r="D649" s="161"/>
      <c r="E649" s="162"/>
      <c r="F649" s="161"/>
      <c r="G649" s="272" t="s">
        <v>991</v>
      </c>
      <c r="H649" s="1"/>
    </row>
    <row r="650" spans="2:8" ht="17.25" x14ac:dyDescent="0.25">
      <c r="B650" s="1"/>
      <c r="C650" s="270" t="s">
        <v>677</v>
      </c>
      <c r="D650" s="161">
        <v>116</v>
      </c>
      <c r="E650" s="162">
        <f t="shared" si="9"/>
        <v>169.59064327485379</v>
      </c>
      <c r="F650" s="161">
        <v>14.5</v>
      </c>
      <c r="G650" s="272" t="s">
        <v>991</v>
      </c>
      <c r="H650" s="1"/>
    </row>
    <row r="651" spans="2:8" ht="17.25" x14ac:dyDescent="0.25">
      <c r="B651" s="1"/>
      <c r="C651" s="270" t="s">
        <v>678</v>
      </c>
      <c r="D651" s="161"/>
      <c r="E651" s="162"/>
      <c r="F651" s="161"/>
      <c r="G651" s="272" t="s">
        <v>988</v>
      </c>
      <c r="H651" s="1"/>
    </row>
    <row r="652" spans="2:8" ht="17.25" x14ac:dyDescent="0.25">
      <c r="B652" s="1"/>
      <c r="C652" s="270" t="s">
        <v>679</v>
      </c>
      <c r="D652" s="161"/>
      <c r="E652" s="162"/>
      <c r="F652" s="161"/>
      <c r="G652" s="272" t="s">
        <v>988</v>
      </c>
      <c r="H652" s="1"/>
    </row>
    <row r="653" spans="2:8" ht="17.25" x14ac:dyDescent="0.25">
      <c r="B653" s="1"/>
      <c r="C653" s="270" t="s">
        <v>680</v>
      </c>
      <c r="D653" s="161">
        <v>137</v>
      </c>
      <c r="E653" s="162">
        <f t="shared" si="9"/>
        <v>200.29239766081869</v>
      </c>
      <c r="F653" s="161">
        <v>14.5</v>
      </c>
      <c r="G653" s="272" t="s">
        <v>990</v>
      </c>
      <c r="H653" s="1"/>
    </row>
    <row r="654" spans="2:8" ht="17.25" x14ac:dyDescent="0.25">
      <c r="B654" s="1"/>
      <c r="C654" s="270" t="s">
        <v>681</v>
      </c>
      <c r="D654" s="161">
        <v>150</v>
      </c>
      <c r="E654" s="162">
        <f t="shared" si="9"/>
        <v>219.29824561403507</v>
      </c>
      <c r="F654" s="161">
        <v>14.5</v>
      </c>
      <c r="G654" s="272" t="s">
        <v>990</v>
      </c>
      <c r="H654" s="1"/>
    </row>
    <row r="655" spans="2:8" ht="17.25" x14ac:dyDescent="0.25">
      <c r="B655" s="1"/>
      <c r="C655" s="270" t="s">
        <v>682</v>
      </c>
      <c r="D655" s="161">
        <v>150</v>
      </c>
      <c r="E655" s="162">
        <f t="shared" si="9"/>
        <v>219.29824561403507</v>
      </c>
      <c r="F655" s="161">
        <v>14.5</v>
      </c>
      <c r="G655" s="272" t="s">
        <v>990</v>
      </c>
      <c r="H655" s="1"/>
    </row>
    <row r="656" spans="2:8" ht="17.25" x14ac:dyDescent="0.25">
      <c r="B656" s="1"/>
      <c r="C656" s="270" t="s">
        <v>683</v>
      </c>
      <c r="D656" s="161">
        <v>172</v>
      </c>
      <c r="E656" s="162">
        <f t="shared" si="9"/>
        <v>251.46198830409355</v>
      </c>
      <c r="F656" s="161">
        <v>14.5</v>
      </c>
      <c r="G656" s="272" t="s">
        <v>990</v>
      </c>
      <c r="H656" s="1"/>
    </row>
    <row r="657" spans="2:8" ht="17.25" x14ac:dyDescent="0.25">
      <c r="B657" s="1"/>
      <c r="C657" s="270" t="s">
        <v>684</v>
      </c>
      <c r="D657" s="161">
        <v>150</v>
      </c>
      <c r="E657" s="162">
        <f t="shared" si="9"/>
        <v>219.29824561403507</v>
      </c>
      <c r="F657" s="161">
        <v>14.5</v>
      </c>
      <c r="G657" s="272" t="s">
        <v>990</v>
      </c>
      <c r="H657" s="1"/>
    </row>
    <row r="658" spans="2:8" ht="17.25" x14ac:dyDescent="0.25">
      <c r="B658" s="1"/>
      <c r="C658" s="270" t="s">
        <v>685</v>
      </c>
      <c r="D658" s="161">
        <v>137</v>
      </c>
      <c r="E658" s="162">
        <f t="shared" si="9"/>
        <v>200.29239766081869</v>
      </c>
      <c r="F658" s="161">
        <v>14.5</v>
      </c>
      <c r="G658" s="272" t="s">
        <v>991</v>
      </c>
      <c r="H658" s="1"/>
    </row>
    <row r="659" spans="2:8" ht="17.25" x14ac:dyDescent="0.25">
      <c r="B659" s="1"/>
      <c r="C659" s="270" t="s">
        <v>686</v>
      </c>
      <c r="D659" s="161">
        <v>176.7</v>
      </c>
      <c r="E659" s="162">
        <f t="shared" si="9"/>
        <v>258.33333333333331</v>
      </c>
      <c r="F659" s="161">
        <v>12</v>
      </c>
      <c r="G659" s="272" t="s">
        <v>993</v>
      </c>
      <c r="H659" s="1"/>
    </row>
    <row r="660" spans="2:8" ht="17.25" x14ac:dyDescent="0.25">
      <c r="B660" s="1"/>
      <c r="C660" s="270" t="s">
        <v>687</v>
      </c>
      <c r="D660" s="161"/>
      <c r="E660" s="162"/>
      <c r="F660" s="161"/>
      <c r="G660" s="272" t="s">
        <v>993</v>
      </c>
      <c r="H660" s="1"/>
    </row>
    <row r="661" spans="2:8" ht="17.25" x14ac:dyDescent="0.25">
      <c r="B661" s="1"/>
      <c r="C661" s="270" t="s">
        <v>688</v>
      </c>
      <c r="D661" s="161"/>
      <c r="E661" s="162"/>
      <c r="F661" s="161"/>
      <c r="G661" s="272" t="s">
        <v>989</v>
      </c>
      <c r="H661" s="1"/>
    </row>
    <row r="662" spans="2:8" ht="17.25" x14ac:dyDescent="0.25">
      <c r="B662" s="1"/>
      <c r="C662" s="270" t="s">
        <v>689</v>
      </c>
      <c r="D662" s="161">
        <v>176.7</v>
      </c>
      <c r="E662" s="162">
        <f t="shared" ref="E662:E721" si="10">D662/0.684</f>
        <v>258.33333333333331</v>
      </c>
      <c r="F662" s="161">
        <v>12</v>
      </c>
      <c r="G662" s="272" t="s">
        <v>990</v>
      </c>
      <c r="H662" s="1"/>
    </row>
    <row r="663" spans="2:8" ht="17.25" x14ac:dyDescent="0.25">
      <c r="B663" s="1"/>
      <c r="C663" s="270" t="s">
        <v>690</v>
      </c>
      <c r="D663" s="161"/>
      <c r="E663" s="162"/>
      <c r="F663" s="161"/>
      <c r="G663" s="272" t="s">
        <v>990</v>
      </c>
      <c r="H663" s="1"/>
    </row>
    <row r="664" spans="2:8" ht="17.25" x14ac:dyDescent="0.25">
      <c r="B664" s="1"/>
      <c r="C664" s="270" t="s">
        <v>691</v>
      </c>
      <c r="D664" s="161">
        <v>261</v>
      </c>
      <c r="E664" s="162">
        <f t="shared" si="10"/>
        <v>381.57894736842104</v>
      </c>
      <c r="F664" s="161">
        <v>12</v>
      </c>
      <c r="G664" s="272" t="s">
        <v>990</v>
      </c>
      <c r="H664" s="1"/>
    </row>
    <row r="665" spans="2:8" ht="17.25" x14ac:dyDescent="0.25">
      <c r="B665" s="1"/>
      <c r="C665" s="270" t="s">
        <v>692</v>
      </c>
      <c r="D665" s="161">
        <v>237</v>
      </c>
      <c r="E665" s="162">
        <f t="shared" si="10"/>
        <v>346.4912280701754</v>
      </c>
      <c r="F665" s="161">
        <v>12</v>
      </c>
      <c r="G665" s="272" t="s">
        <v>990</v>
      </c>
      <c r="H665" s="1"/>
    </row>
    <row r="666" spans="2:8" ht="17.25" x14ac:dyDescent="0.25">
      <c r="B666" s="1"/>
      <c r="C666" s="270" t="s">
        <v>693</v>
      </c>
      <c r="D666" s="161">
        <v>187</v>
      </c>
      <c r="E666" s="162">
        <f t="shared" si="10"/>
        <v>273.39181286549706</v>
      </c>
      <c r="F666" s="161">
        <v>12</v>
      </c>
      <c r="G666" s="272" t="s">
        <v>990</v>
      </c>
      <c r="H666" s="1"/>
    </row>
    <row r="667" spans="2:8" ht="17.25" x14ac:dyDescent="0.25">
      <c r="B667" s="1"/>
      <c r="C667" s="270" t="s">
        <v>694</v>
      </c>
      <c r="D667" s="161"/>
      <c r="E667" s="162"/>
      <c r="F667" s="161"/>
      <c r="G667" s="272" t="s">
        <v>991</v>
      </c>
      <c r="H667" s="1"/>
    </row>
    <row r="668" spans="2:8" ht="17.25" x14ac:dyDescent="0.25">
      <c r="B668" s="1"/>
      <c r="C668" s="270" t="s">
        <v>695</v>
      </c>
      <c r="D668" s="161"/>
      <c r="E668" s="162"/>
      <c r="F668" s="161"/>
      <c r="G668" s="272" t="s">
        <v>991</v>
      </c>
      <c r="H668" s="1"/>
    </row>
    <row r="669" spans="2:8" ht="17.25" x14ac:dyDescent="0.25">
      <c r="B669" s="1"/>
      <c r="C669" s="270" t="s">
        <v>696</v>
      </c>
      <c r="D669" s="161">
        <v>116</v>
      </c>
      <c r="E669" s="162">
        <f t="shared" si="10"/>
        <v>169.59064327485379</v>
      </c>
      <c r="F669" s="161">
        <v>12</v>
      </c>
      <c r="G669" s="272" t="s">
        <v>991</v>
      </c>
      <c r="H669" s="1"/>
    </row>
    <row r="670" spans="2:8" ht="17.25" x14ac:dyDescent="0.25">
      <c r="B670" s="1"/>
      <c r="C670" s="270" t="s">
        <v>697</v>
      </c>
      <c r="D670" s="161"/>
      <c r="E670" s="162"/>
      <c r="F670" s="161"/>
      <c r="G670" s="272" t="s">
        <v>991</v>
      </c>
      <c r="H670" s="1"/>
    </row>
    <row r="671" spans="2:8" ht="17.25" x14ac:dyDescent="0.25">
      <c r="B671" s="1"/>
      <c r="C671" s="270" t="s">
        <v>698</v>
      </c>
      <c r="D671" s="161">
        <v>75</v>
      </c>
      <c r="E671" s="162">
        <f t="shared" si="10"/>
        <v>109.64912280701753</v>
      </c>
      <c r="F671" s="161">
        <v>14.5</v>
      </c>
      <c r="G671" s="272" t="s">
        <v>991</v>
      </c>
      <c r="H671" s="1"/>
    </row>
    <row r="672" spans="2:8" ht="17.25" x14ac:dyDescent="0.25">
      <c r="B672" s="1"/>
      <c r="C672" s="270" t="s">
        <v>699</v>
      </c>
      <c r="D672" s="161"/>
      <c r="E672" s="162"/>
      <c r="F672" s="161"/>
      <c r="G672" s="272" t="s">
        <v>991</v>
      </c>
      <c r="H672" s="1"/>
    </row>
    <row r="673" spans="2:8" ht="17.25" x14ac:dyDescent="0.25">
      <c r="B673" s="1"/>
      <c r="C673" s="270" t="s">
        <v>700</v>
      </c>
      <c r="D673" s="161">
        <v>194.6</v>
      </c>
      <c r="E673" s="162">
        <f t="shared" si="10"/>
        <v>284.50292397660814</v>
      </c>
      <c r="F673" s="161">
        <v>14.5</v>
      </c>
      <c r="G673" s="272" t="s">
        <v>991</v>
      </c>
      <c r="H673" s="1"/>
    </row>
    <row r="674" spans="2:8" ht="17.25" x14ac:dyDescent="0.25">
      <c r="B674" s="1"/>
      <c r="C674" s="270" t="s">
        <v>701</v>
      </c>
      <c r="D674" s="161"/>
      <c r="E674" s="162"/>
      <c r="F674" s="161"/>
      <c r="G674" s="272" t="s">
        <v>991</v>
      </c>
      <c r="H674" s="1"/>
    </row>
    <row r="675" spans="2:8" ht="17.25" x14ac:dyDescent="0.25">
      <c r="B675" s="1"/>
      <c r="C675" s="270" t="s">
        <v>702</v>
      </c>
      <c r="D675" s="161"/>
      <c r="E675" s="162"/>
      <c r="F675" s="161"/>
      <c r="G675" s="272" t="s">
        <v>991</v>
      </c>
      <c r="H675" s="1"/>
    </row>
    <row r="676" spans="2:8" ht="17.25" x14ac:dyDescent="0.25">
      <c r="B676" s="1"/>
      <c r="C676" s="270" t="s">
        <v>703</v>
      </c>
      <c r="D676" s="161">
        <v>116</v>
      </c>
      <c r="E676" s="162">
        <f t="shared" si="10"/>
        <v>169.59064327485379</v>
      </c>
      <c r="F676" s="161">
        <v>14.5</v>
      </c>
      <c r="G676" s="272" t="s">
        <v>990</v>
      </c>
      <c r="H676" s="1"/>
    </row>
    <row r="677" spans="2:8" ht="17.25" x14ac:dyDescent="0.25">
      <c r="B677" s="1"/>
      <c r="C677" s="270" t="s">
        <v>704</v>
      </c>
      <c r="D677" s="161">
        <v>90</v>
      </c>
      <c r="E677" s="162">
        <f t="shared" si="10"/>
        <v>131.57894736842104</v>
      </c>
      <c r="F677" s="161">
        <v>14.5</v>
      </c>
      <c r="G677" s="272" t="s">
        <v>990</v>
      </c>
      <c r="H677" s="1"/>
    </row>
    <row r="678" spans="2:8" ht="17.25" x14ac:dyDescent="0.25">
      <c r="B678" s="1"/>
      <c r="C678" s="270" t="s">
        <v>705</v>
      </c>
      <c r="D678" s="161">
        <v>150.19999999999999</v>
      </c>
      <c r="E678" s="162">
        <f t="shared" si="10"/>
        <v>219.59064327485376</v>
      </c>
      <c r="F678" s="161">
        <v>14.5</v>
      </c>
      <c r="G678" s="272" t="s">
        <v>990</v>
      </c>
      <c r="H678" s="1"/>
    </row>
    <row r="679" spans="2:8" ht="17.25" x14ac:dyDescent="0.25">
      <c r="B679" s="1"/>
      <c r="C679" s="270" t="s">
        <v>706</v>
      </c>
      <c r="D679" s="161">
        <v>187</v>
      </c>
      <c r="E679" s="162">
        <f t="shared" si="10"/>
        <v>273.39181286549706</v>
      </c>
      <c r="F679" s="161">
        <v>14.5</v>
      </c>
      <c r="G679" s="272" t="s">
        <v>991</v>
      </c>
      <c r="H679" s="1"/>
    </row>
    <row r="680" spans="2:8" ht="17.25" x14ac:dyDescent="0.25">
      <c r="B680" s="1"/>
      <c r="C680" s="270" t="s">
        <v>707</v>
      </c>
      <c r="D680" s="161">
        <v>106</v>
      </c>
      <c r="E680" s="162">
        <f t="shared" si="10"/>
        <v>154.97076023391813</v>
      </c>
      <c r="F680" s="161">
        <v>14.5</v>
      </c>
      <c r="G680" s="272" t="s">
        <v>990</v>
      </c>
      <c r="H680" s="1"/>
    </row>
    <row r="681" spans="2:8" ht="17.25" x14ac:dyDescent="0.25">
      <c r="B681" s="1"/>
      <c r="C681" s="270" t="s">
        <v>708</v>
      </c>
      <c r="D681" s="161">
        <v>116</v>
      </c>
      <c r="E681" s="162">
        <f t="shared" si="10"/>
        <v>169.59064327485379</v>
      </c>
      <c r="F681" s="161">
        <v>14.5</v>
      </c>
      <c r="G681" s="272" t="s">
        <v>990</v>
      </c>
      <c r="H681" s="1"/>
    </row>
    <row r="682" spans="2:8" ht="17.25" x14ac:dyDescent="0.25">
      <c r="B682" s="1"/>
      <c r="C682" s="270" t="s">
        <v>709</v>
      </c>
      <c r="D682" s="161">
        <v>150</v>
      </c>
      <c r="E682" s="162">
        <f t="shared" si="10"/>
        <v>219.29824561403507</v>
      </c>
      <c r="F682" s="161">
        <v>15.95</v>
      </c>
      <c r="G682" s="272" t="s">
        <v>991</v>
      </c>
      <c r="H682" s="1"/>
    </row>
    <row r="683" spans="2:8" ht="17.25" x14ac:dyDescent="0.25">
      <c r="B683" s="1"/>
      <c r="C683" s="270" t="s">
        <v>710</v>
      </c>
      <c r="D683" s="161"/>
      <c r="E683" s="162"/>
      <c r="F683" s="161"/>
      <c r="G683" s="272" t="s">
        <v>987</v>
      </c>
      <c r="H683" s="1"/>
    </row>
    <row r="684" spans="2:8" ht="17.25" x14ac:dyDescent="0.25">
      <c r="B684" s="1"/>
      <c r="C684" s="270" t="s">
        <v>711</v>
      </c>
      <c r="D684" s="161"/>
      <c r="E684" s="162"/>
      <c r="F684" s="161"/>
      <c r="G684" s="272" t="s">
        <v>987</v>
      </c>
      <c r="H684" s="1"/>
    </row>
    <row r="685" spans="2:8" ht="17.25" x14ac:dyDescent="0.25">
      <c r="B685" s="1"/>
      <c r="C685" s="270" t="s">
        <v>712</v>
      </c>
      <c r="D685" s="161"/>
      <c r="E685" s="162"/>
      <c r="F685" s="161"/>
      <c r="G685" s="272" t="s">
        <v>991</v>
      </c>
      <c r="H685" s="1"/>
    </row>
    <row r="686" spans="2:8" ht="17.25" x14ac:dyDescent="0.25">
      <c r="B686" s="1"/>
      <c r="C686" s="270" t="s">
        <v>713</v>
      </c>
      <c r="D686" s="161"/>
      <c r="E686" s="162"/>
      <c r="F686" s="161"/>
      <c r="G686" s="272" t="s">
        <v>991</v>
      </c>
      <c r="H686" s="1"/>
    </row>
    <row r="687" spans="2:8" ht="17.25" x14ac:dyDescent="0.25">
      <c r="B687" s="1"/>
      <c r="C687" s="270" t="s">
        <v>714</v>
      </c>
      <c r="D687" s="161"/>
      <c r="E687" s="162"/>
      <c r="F687" s="161"/>
      <c r="G687" s="272" t="s">
        <v>990</v>
      </c>
      <c r="H687" s="1"/>
    </row>
    <row r="688" spans="2:8" ht="17.25" x14ac:dyDescent="0.25">
      <c r="B688" s="1"/>
      <c r="C688" s="270" t="s">
        <v>715</v>
      </c>
      <c r="D688" s="161"/>
      <c r="E688" s="162"/>
      <c r="F688" s="161"/>
      <c r="G688" s="272" t="s">
        <v>990</v>
      </c>
      <c r="H688" s="1"/>
    </row>
    <row r="689" spans="2:8" ht="17.25" x14ac:dyDescent="0.25">
      <c r="B689" s="1"/>
      <c r="C689" s="270" t="s">
        <v>716</v>
      </c>
      <c r="D689" s="161"/>
      <c r="E689" s="162"/>
      <c r="F689" s="161"/>
      <c r="G689" s="272" t="s">
        <v>990</v>
      </c>
      <c r="H689" s="1"/>
    </row>
    <row r="690" spans="2:8" ht="17.25" x14ac:dyDescent="0.25">
      <c r="B690" s="1"/>
      <c r="C690" s="270" t="s">
        <v>717</v>
      </c>
      <c r="D690" s="161"/>
      <c r="E690" s="162"/>
      <c r="F690" s="161"/>
      <c r="G690" s="272" t="s">
        <v>990</v>
      </c>
      <c r="H690" s="1"/>
    </row>
    <row r="691" spans="2:8" ht="17.25" x14ac:dyDescent="0.25">
      <c r="B691" s="1"/>
      <c r="C691" s="270" t="s">
        <v>718</v>
      </c>
      <c r="D691" s="161"/>
      <c r="E691" s="162"/>
      <c r="F691" s="161"/>
      <c r="G691" s="272" t="s">
        <v>987</v>
      </c>
      <c r="H691" s="1"/>
    </row>
    <row r="692" spans="2:8" ht="17.25" x14ac:dyDescent="0.25">
      <c r="B692" s="1"/>
      <c r="C692" s="270" t="s">
        <v>719</v>
      </c>
      <c r="D692" s="161"/>
      <c r="E692" s="162"/>
      <c r="F692" s="161"/>
      <c r="G692" s="272" t="s">
        <v>987</v>
      </c>
      <c r="H692" s="1"/>
    </row>
    <row r="693" spans="2:8" ht="17.25" x14ac:dyDescent="0.25">
      <c r="B693" s="1"/>
      <c r="C693" s="270" t="s">
        <v>720</v>
      </c>
      <c r="D693" s="161"/>
      <c r="E693" s="162"/>
      <c r="F693" s="161"/>
      <c r="G693" s="272" t="s">
        <v>991</v>
      </c>
      <c r="H693" s="1"/>
    </row>
    <row r="694" spans="2:8" ht="17.25" x14ac:dyDescent="0.25">
      <c r="B694" s="1"/>
      <c r="C694" s="270" t="s">
        <v>721</v>
      </c>
      <c r="D694" s="161"/>
      <c r="E694" s="162"/>
      <c r="F694" s="161"/>
      <c r="G694" s="272" t="s">
        <v>991</v>
      </c>
      <c r="H694" s="1"/>
    </row>
    <row r="695" spans="2:8" ht="17.25" x14ac:dyDescent="0.25">
      <c r="B695" s="1"/>
      <c r="C695" s="270" t="s">
        <v>722</v>
      </c>
      <c r="D695" s="161"/>
      <c r="E695" s="162"/>
      <c r="F695" s="161"/>
      <c r="G695" s="272" t="s">
        <v>990</v>
      </c>
      <c r="H695" s="1"/>
    </row>
    <row r="696" spans="2:8" ht="17.25" x14ac:dyDescent="0.25">
      <c r="B696" s="1"/>
      <c r="C696" s="270" t="s">
        <v>723</v>
      </c>
      <c r="D696" s="161"/>
      <c r="E696" s="162"/>
      <c r="F696" s="161"/>
      <c r="G696" s="272" t="s">
        <v>990</v>
      </c>
      <c r="H696" s="1"/>
    </row>
    <row r="697" spans="2:8" ht="17.25" x14ac:dyDescent="0.25">
      <c r="B697" s="1"/>
      <c r="C697" s="270" t="s">
        <v>724</v>
      </c>
      <c r="D697" s="161"/>
      <c r="E697" s="162"/>
      <c r="F697" s="161"/>
      <c r="G697" s="272" t="s">
        <v>991</v>
      </c>
      <c r="H697" s="1"/>
    </row>
    <row r="698" spans="2:8" ht="17.25" x14ac:dyDescent="0.25">
      <c r="B698" s="1"/>
      <c r="C698" s="270" t="s">
        <v>725</v>
      </c>
      <c r="D698" s="161"/>
      <c r="E698" s="162"/>
      <c r="F698" s="161"/>
      <c r="G698" s="272" t="s">
        <v>991</v>
      </c>
      <c r="H698" s="1"/>
    </row>
    <row r="699" spans="2:8" ht="17.25" x14ac:dyDescent="0.25">
      <c r="B699" s="1"/>
      <c r="C699" s="270" t="s">
        <v>726</v>
      </c>
      <c r="D699" s="161"/>
      <c r="E699" s="162"/>
      <c r="F699" s="161"/>
      <c r="G699" s="272" t="s">
        <v>990</v>
      </c>
      <c r="H699" s="1"/>
    </row>
    <row r="700" spans="2:8" ht="17.25" x14ac:dyDescent="0.25">
      <c r="B700" s="1"/>
      <c r="C700" s="270" t="s">
        <v>727</v>
      </c>
      <c r="D700" s="161"/>
      <c r="E700" s="162"/>
      <c r="F700" s="161"/>
      <c r="G700" s="272" t="s">
        <v>990</v>
      </c>
      <c r="H700" s="1"/>
    </row>
    <row r="701" spans="2:8" ht="17.25" x14ac:dyDescent="0.25">
      <c r="B701" s="1"/>
      <c r="C701" s="270" t="s">
        <v>728</v>
      </c>
      <c r="D701" s="161"/>
      <c r="E701" s="162"/>
      <c r="F701" s="161"/>
      <c r="G701" s="272" t="s">
        <v>990</v>
      </c>
      <c r="H701" s="1"/>
    </row>
    <row r="702" spans="2:8" ht="17.25" x14ac:dyDescent="0.25">
      <c r="B702" s="1"/>
      <c r="C702" s="270" t="s">
        <v>729</v>
      </c>
      <c r="D702" s="161"/>
      <c r="E702" s="162"/>
      <c r="F702" s="161"/>
      <c r="G702" s="272" t="s">
        <v>990</v>
      </c>
      <c r="H702" s="1"/>
    </row>
    <row r="703" spans="2:8" ht="17.25" x14ac:dyDescent="0.25">
      <c r="B703" s="1"/>
      <c r="C703" s="270" t="s">
        <v>730</v>
      </c>
      <c r="D703" s="161">
        <v>213</v>
      </c>
      <c r="E703" s="162">
        <f t="shared" si="10"/>
        <v>311.40350877192981</v>
      </c>
      <c r="F703" s="161">
        <v>14.5</v>
      </c>
      <c r="G703" s="272" t="s">
        <v>991</v>
      </c>
      <c r="H703" s="1"/>
    </row>
    <row r="704" spans="2:8" ht="17.25" x14ac:dyDescent="0.25">
      <c r="B704" s="1"/>
      <c r="C704" s="270" t="s">
        <v>731</v>
      </c>
      <c r="D704" s="161">
        <v>116</v>
      </c>
      <c r="E704" s="162">
        <f t="shared" si="10"/>
        <v>169.59064327485379</v>
      </c>
      <c r="F704" s="161">
        <v>14.5</v>
      </c>
      <c r="G704" s="272" t="s">
        <v>991</v>
      </c>
      <c r="H704" s="1"/>
    </row>
    <row r="705" spans="2:8" ht="17.25" x14ac:dyDescent="0.25">
      <c r="B705" s="1"/>
      <c r="C705" s="270" t="s">
        <v>732</v>
      </c>
      <c r="D705" s="161">
        <v>150</v>
      </c>
      <c r="E705" s="162">
        <f t="shared" si="10"/>
        <v>219.29824561403507</v>
      </c>
      <c r="F705" s="161">
        <v>14.5</v>
      </c>
      <c r="G705" s="272" t="s">
        <v>991</v>
      </c>
      <c r="H705" s="1"/>
    </row>
    <row r="706" spans="2:8" ht="17.25" x14ac:dyDescent="0.25">
      <c r="B706" s="1"/>
      <c r="C706" s="270" t="s">
        <v>733</v>
      </c>
      <c r="D706" s="161">
        <v>150</v>
      </c>
      <c r="E706" s="162">
        <f t="shared" si="10"/>
        <v>219.29824561403507</v>
      </c>
      <c r="F706" s="161">
        <v>12</v>
      </c>
      <c r="G706" s="272" t="s">
        <v>991</v>
      </c>
      <c r="H706" s="1"/>
    </row>
    <row r="707" spans="2:8" ht="17.25" x14ac:dyDescent="0.25">
      <c r="B707" s="1"/>
      <c r="C707" s="270" t="s">
        <v>734</v>
      </c>
      <c r="D707" s="161"/>
      <c r="E707" s="162"/>
      <c r="F707" s="161"/>
      <c r="G707" s="272" t="s">
        <v>991</v>
      </c>
      <c r="H707" s="1"/>
    </row>
    <row r="708" spans="2:8" ht="17.25" x14ac:dyDescent="0.25">
      <c r="B708" s="1"/>
      <c r="C708" s="270" t="s">
        <v>735</v>
      </c>
      <c r="D708" s="161">
        <v>137</v>
      </c>
      <c r="E708" s="162">
        <f t="shared" si="10"/>
        <v>200.29239766081869</v>
      </c>
      <c r="F708" s="161">
        <v>14.5</v>
      </c>
      <c r="G708" s="272" t="s">
        <v>991</v>
      </c>
      <c r="H708" s="1"/>
    </row>
    <row r="709" spans="2:8" ht="17.25" x14ac:dyDescent="0.25">
      <c r="B709" s="1"/>
      <c r="C709" s="270" t="s">
        <v>736</v>
      </c>
      <c r="D709" s="161"/>
      <c r="E709" s="162"/>
      <c r="F709" s="161"/>
      <c r="G709" s="272" t="s">
        <v>991</v>
      </c>
      <c r="H709" s="1"/>
    </row>
    <row r="710" spans="2:8" ht="17.25" x14ac:dyDescent="0.25">
      <c r="B710" s="1"/>
      <c r="C710" s="270" t="s">
        <v>737</v>
      </c>
      <c r="D710" s="161">
        <v>150</v>
      </c>
      <c r="E710" s="162">
        <f t="shared" si="10"/>
        <v>219.29824561403507</v>
      </c>
      <c r="F710" s="161">
        <v>14.5</v>
      </c>
      <c r="G710" s="272" t="s">
        <v>991</v>
      </c>
      <c r="H710" s="1"/>
    </row>
    <row r="711" spans="2:8" ht="17.25" x14ac:dyDescent="0.25">
      <c r="B711" s="1"/>
      <c r="C711" s="270" t="s">
        <v>738</v>
      </c>
      <c r="D711" s="161"/>
      <c r="E711" s="162"/>
      <c r="F711" s="161"/>
      <c r="G711" s="272" t="s">
        <v>988</v>
      </c>
      <c r="H711" s="1"/>
    </row>
    <row r="712" spans="2:8" ht="17.25" x14ac:dyDescent="0.25">
      <c r="B712" s="1"/>
      <c r="C712" s="270" t="s">
        <v>739</v>
      </c>
      <c r="D712" s="161"/>
      <c r="E712" s="162"/>
      <c r="F712" s="161"/>
      <c r="G712" s="272" t="s">
        <v>988</v>
      </c>
      <c r="H712" s="1"/>
    </row>
    <row r="713" spans="2:8" ht="17.25" x14ac:dyDescent="0.25">
      <c r="B713" s="1"/>
      <c r="C713" s="270" t="s">
        <v>740</v>
      </c>
      <c r="D713" s="161"/>
      <c r="E713" s="162"/>
      <c r="F713" s="161"/>
      <c r="G713" s="272" t="s">
        <v>989</v>
      </c>
      <c r="H713" s="1"/>
    </row>
    <row r="714" spans="2:8" ht="17.25" x14ac:dyDescent="0.25">
      <c r="B714" s="1"/>
      <c r="C714" s="270" t="s">
        <v>741</v>
      </c>
      <c r="D714" s="161"/>
      <c r="E714" s="162"/>
      <c r="F714" s="161"/>
      <c r="G714" s="272" t="s">
        <v>990</v>
      </c>
      <c r="H714" s="1"/>
    </row>
    <row r="715" spans="2:8" ht="17.25" x14ac:dyDescent="0.25">
      <c r="B715" s="1"/>
      <c r="C715" s="270" t="s">
        <v>742</v>
      </c>
      <c r="D715" s="161"/>
      <c r="E715" s="162"/>
      <c r="F715" s="161"/>
      <c r="G715" s="272" t="s">
        <v>990</v>
      </c>
      <c r="H715" s="1"/>
    </row>
    <row r="716" spans="2:8" ht="17.25" x14ac:dyDescent="0.25">
      <c r="B716" s="1"/>
      <c r="C716" s="270" t="s">
        <v>743</v>
      </c>
      <c r="D716" s="161"/>
      <c r="E716" s="162"/>
      <c r="F716" s="161"/>
      <c r="G716" s="272" t="s">
        <v>991</v>
      </c>
      <c r="H716" s="1"/>
    </row>
    <row r="717" spans="2:8" ht="17.25" x14ac:dyDescent="0.25">
      <c r="B717" s="1"/>
      <c r="C717" s="270" t="s">
        <v>744</v>
      </c>
      <c r="D717" s="161"/>
      <c r="E717" s="162"/>
      <c r="F717" s="161"/>
      <c r="G717" s="272" t="s">
        <v>991</v>
      </c>
      <c r="H717" s="1"/>
    </row>
    <row r="718" spans="2:8" ht="17.25" x14ac:dyDescent="0.25">
      <c r="B718" s="1"/>
      <c r="C718" s="270" t="s">
        <v>745</v>
      </c>
      <c r="D718" s="161">
        <v>137</v>
      </c>
      <c r="E718" s="162">
        <f t="shared" si="10"/>
        <v>200.29239766081869</v>
      </c>
      <c r="F718" s="161">
        <v>14.5</v>
      </c>
      <c r="G718" s="272" t="s">
        <v>990</v>
      </c>
      <c r="H718" s="1"/>
    </row>
    <row r="719" spans="2:8" ht="17.25" x14ac:dyDescent="0.25">
      <c r="B719" s="1"/>
      <c r="C719" s="270" t="s">
        <v>746</v>
      </c>
      <c r="D719" s="161">
        <v>116</v>
      </c>
      <c r="E719" s="162">
        <f t="shared" si="10"/>
        <v>169.59064327485379</v>
      </c>
      <c r="F719" s="161">
        <v>14.5</v>
      </c>
      <c r="G719" s="272" t="s">
        <v>990</v>
      </c>
      <c r="H719" s="1"/>
    </row>
    <row r="720" spans="2:8" ht="17.25" x14ac:dyDescent="0.25">
      <c r="B720" s="1"/>
      <c r="C720" s="270" t="s">
        <v>747</v>
      </c>
      <c r="D720" s="161">
        <v>90</v>
      </c>
      <c r="E720" s="162">
        <f t="shared" si="10"/>
        <v>131.57894736842104</v>
      </c>
      <c r="F720" s="161">
        <v>14.5</v>
      </c>
      <c r="G720" s="272" t="s">
        <v>990</v>
      </c>
      <c r="H720" s="1"/>
    </row>
    <row r="721" spans="2:8" ht="17.25" x14ac:dyDescent="0.25">
      <c r="B721" s="1"/>
      <c r="C721" s="270" t="s">
        <v>748</v>
      </c>
      <c r="D721" s="161">
        <v>137</v>
      </c>
      <c r="E721" s="162">
        <f t="shared" si="10"/>
        <v>200.29239766081869</v>
      </c>
      <c r="F721" s="161">
        <v>14.5</v>
      </c>
      <c r="G721" s="272" t="s">
        <v>990</v>
      </c>
      <c r="H721" s="1"/>
    </row>
    <row r="722" spans="2:8" ht="17.25" x14ac:dyDescent="0.25">
      <c r="B722" s="1"/>
      <c r="C722" s="270" t="s">
        <v>749</v>
      </c>
      <c r="D722" s="161"/>
      <c r="E722" s="162"/>
      <c r="F722" s="161"/>
      <c r="G722" s="272" t="s">
        <v>991</v>
      </c>
      <c r="H722" s="1"/>
    </row>
    <row r="723" spans="2:8" ht="17.25" x14ac:dyDescent="0.25">
      <c r="B723" s="1"/>
      <c r="C723" s="270" t="s">
        <v>750</v>
      </c>
      <c r="D723" s="161"/>
      <c r="E723" s="162"/>
      <c r="F723" s="161"/>
      <c r="G723" s="272" t="s">
        <v>991</v>
      </c>
      <c r="H723" s="1"/>
    </row>
    <row r="724" spans="2:8" ht="17.25" x14ac:dyDescent="0.25">
      <c r="B724" s="1"/>
      <c r="C724" s="270" t="s">
        <v>751</v>
      </c>
      <c r="D724" s="161"/>
      <c r="E724" s="162"/>
      <c r="F724" s="161"/>
      <c r="G724" s="272" t="s">
        <v>990</v>
      </c>
      <c r="H724" s="1"/>
    </row>
    <row r="725" spans="2:8" ht="17.25" x14ac:dyDescent="0.25">
      <c r="B725" s="1"/>
      <c r="C725" s="270" t="s">
        <v>752</v>
      </c>
      <c r="D725" s="161"/>
      <c r="E725" s="162"/>
      <c r="F725" s="161"/>
      <c r="G725" s="272" t="s">
        <v>990</v>
      </c>
      <c r="H725" s="1"/>
    </row>
    <row r="726" spans="2:8" ht="17.25" x14ac:dyDescent="0.25">
      <c r="B726" s="1"/>
      <c r="C726" s="270" t="s">
        <v>753</v>
      </c>
      <c r="D726" s="161">
        <v>269</v>
      </c>
      <c r="E726" s="162">
        <f t="shared" ref="E726:E776" si="11">D726/0.684</f>
        <v>393.27485380116957</v>
      </c>
      <c r="F726" s="161">
        <v>12</v>
      </c>
      <c r="G726" s="272" t="s">
        <v>993</v>
      </c>
      <c r="H726" s="1"/>
    </row>
    <row r="727" spans="2:8" ht="17.25" x14ac:dyDescent="0.25">
      <c r="B727" s="1"/>
      <c r="C727" s="270" t="s">
        <v>754</v>
      </c>
      <c r="D727" s="161"/>
      <c r="E727" s="162"/>
      <c r="F727" s="161"/>
      <c r="G727" s="272" t="s">
        <v>993</v>
      </c>
      <c r="H727" s="1"/>
    </row>
    <row r="728" spans="2:8" ht="17.25" x14ac:dyDescent="0.25">
      <c r="B728" s="1"/>
      <c r="C728" s="270" t="s">
        <v>755</v>
      </c>
      <c r="D728" s="161">
        <v>242</v>
      </c>
      <c r="E728" s="162">
        <f t="shared" si="11"/>
        <v>353.80116959064327</v>
      </c>
      <c r="F728" s="161">
        <v>12</v>
      </c>
      <c r="G728" s="272" t="s">
        <v>993</v>
      </c>
      <c r="H728" s="1"/>
    </row>
    <row r="729" spans="2:8" ht="17.25" x14ac:dyDescent="0.25">
      <c r="B729" s="1"/>
      <c r="C729" s="270" t="s">
        <v>756</v>
      </c>
      <c r="D729" s="161">
        <v>241.6</v>
      </c>
      <c r="E729" s="162">
        <f t="shared" si="11"/>
        <v>353.21637426900583</v>
      </c>
      <c r="F729" s="161">
        <v>12</v>
      </c>
      <c r="G729" s="272" t="s">
        <v>993</v>
      </c>
      <c r="H729" s="1"/>
    </row>
    <row r="730" spans="2:8" ht="17.25" x14ac:dyDescent="0.25">
      <c r="B730" s="1"/>
      <c r="C730" s="270" t="s">
        <v>757</v>
      </c>
      <c r="D730" s="161"/>
      <c r="E730" s="162"/>
      <c r="F730" s="161"/>
      <c r="G730" s="272" t="s">
        <v>993</v>
      </c>
      <c r="H730" s="1"/>
    </row>
    <row r="731" spans="2:8" ht="17.25" x14ac:dyDescent="0.25">
      <c r="B731" s="1"/>
      <c r="C731" s="270" t="s">
        <v>758</v>
      </c>
      <c r="D731" s="161">
        <v>217</v>
      </c>
      <c r="E731" s="162">
        <f t="shared" si="11"/>
        <v>317.25146198830407</v>
      </c>
      <c r="F731" s="161">
        <v>12</v>
      </c>
      <c r="G731" s="272" t="s">
        <v>993</v>
      </c>
      <c r="H731" s="1"/>
    </row>
    <row r="732" spans="2:8" ht="17.25" x14ac:dyDescent="0.25">
      <c r="B732" s="1"/>
      <c r="C732" s="270" t="s">
        <v>759</v>
      </c>
      <c r="D732" s="161"/>
      <c r="E732" s="162"/>
      <c r="F732" s="161"/>
      <c r="G732" s="272" t="s">
        <v>993</v>
      </c>
      <c r="H732" s="1"/>
    </row>
    <row r="733" spans="2:8" ht="17.25" x14ac:dyDescent="0.25">
      <c r="B733" s="1"/>
      <c r="C733" s="270" t="s">
        <v>760</v>
      </c>
      <c r="D733" s="161">
        <v>193.1</v>
      </c>
      <c r="E733" s="162">
        <f t="shared" si="11"/>
        <v>282.30994152046782</v>
      </c>
      <c r="F733" s="161">
        <v>12</v>
      </c>
      <c r="G733" s="272" t="s">
        <v>993</v>
      </c>
      <c r="H733" s="1"/>
    </row>
    <row r="734" spans="2:8" ht="17.25" x14ac:dyDescent="0.25">
      <c r="B734" s="1"/>
      <c r="C734" s="270" t="s">
        <v>761</v>
      </c>
      <c r="D734" s="161">
        <v>150.19999999999999</v>
      </c>
      <c r="E734" s="162">
        <f t="shared" si="11"/>
        <v>219.59064327485376</v>
      </c>
      <c r="F734" s="161">
        <v>14.5</v>
      </c>
      <c r="G734" s="272" t="s">
        <v>991</v>
      </c>
      <c r="H734" s="1"/>
    </row>
    <row r="735" spans="2:8" ht="17.25" x14ac:dyDescent="0.25">
      <c r="B735" s="1"/>
      <c r="C735" s="270" t="s">
        <v>762</v>
      </c>
      <c r="D735" s="161"/>
      <c r="E735" s="162"/>
      <c r="F735" s="161"/>
      <c r="G735" s="272" t="s">
        <v>991</v>
      </c>
      <c r="H735" s="1"/>
    </row>
    <row r="736" spans="2:8" ht="17.25" x14ac:dyDescent="0.25">
      <c r="B736" s="1"/>
      <c r="C736" s="270" t="s">
        <v>763</v>
      </c>
      <c r="D736" s="161"/>
      <c r="E736" s="162"/>
      <c r="F736" s="161"/>
      <c r="G736" s="272" t="s">
        <v>991</v>
      </c>
      <c r="H736" s="1"/>
    </row>
    <row r="737" spans="2:8" ht="17.25" x14ac:dyDescent="0.25">
      <c r="B737" s="1"/>
      <c r="C737" s="270" t="s">
        <v>764</v>
      </c>
      <c r="D737" s="161"/>
      <c r="E737" s="162"/>
      <c r="F737" s="161"/>
      <c r="G737" s="272" t="s">
        <v>990</v>
      </c>
      <c r="H737" s="1"/>
    </row>
    <row r="738" spans="2:8" ht="17.25" x14ac:dyDescent="0.25">
      <c r="B738" s="1"/>
      <c r="C738" s="270" t="s">
        <v>765</v>
      </c>
      <c r="D738" s="161"/>
      <c r="E738" s="162"/>
      <c r="F738" s="161"/>
      <c r="G738" s="272" t="s">
        <v>990</v>
      </c>
      <c r="H738" s="1"/>
    </row>
    <row r="739" spans="2:8" ht="17.25" x14ac:dyDescent="0.25">
      <c r="B739" s="1"/>
      <c r="C739" s="270" t="s">
        <v>766</v>
      </c>
      <c r="D739" s="161">
        <v>72.900000000000006</v>
      </c>
      <c r="E739" s="162">
        <f t="shared" si="11"/>
        <v>106.57894736842105</v>
      </c>
      <c r="F739" s="161">
        <v>14.5</v>
      </c>
      <c r="G739" s="272" t="s">
        <v>990</v>
      </c>
      <c r="H739" s="1"/>
    </row>
    <row r="740" spans="2:8" ht="17.25" x14ac:dyDescent="0.25">
      <c r="B740" s="1"/>
      <c r="C740" s="270" t="s">
        <v>767</v>
      </c>
      <c r="D740" s="161"/>
      <c r="E740" s="162"/>
      <c r="F740" s="161"/>
      <c r="G740" s="272" t="s">
        <v>990</v>
      </c>
      <c r="H740" s="1"/>
    </row>
    <row r="741" spans="2:8" ht="17.25" x14ac:dyDescent="0.25">
      <c r="B741" s="1"/>
      <c r="C741" s="270" t="s">
        <v>768</v>
      </c>
      <c r="D741" s="161"/>
      <c r="E741" s="162"/>
      <c r="F741" s="161"/>
      <c r="G741" s="272" t="s">
        <v>989</v>
      </c>
      <c r="H741" s="1"/>
    </row>
    <row r="742" spans="2:8" ht="17.25" x14ac:dyDescent="0.25">
      <c r="B742" s="1"/>
      <c r="C742" s="270" t="s">
        <v>769</v>
      </c>
      <c r="D742" s="161"/>
      <c r="E742" s="162"/>
      <c r="F742" s="161"/>
      <c r="G742" s="272" t="s">
        <v>989</v>
      </c>
      <c r="H742" s="1"/>
    </row>
    <row r="743" spans="2:8" ht="17.25" x14ac:dyDescent="0.25">
      <c r="B743" s="1"/>
      <c r="C743" s="270" t="s">
        <v>770</v>
      </c>
      <c r="D743" s="161"/>
      <c r="E743" s="162"/>
      <c r="F743" s="161"/>
      <c r="G743" s="272" t="s">
        <v>990</v>
      </c>
      <c r="H743" s="1"/>
    </row>
    <row r="744" spans="2:8" ht="17.25" x14ac:dyDescent="0.25">
      <c r="B744" s="1"/>
      <c r="C744" s="270" t="s">
        <v>771</v>
      </c>
      <c r="D744" s="161"/>
      <c r="E744" s="162"/>
      <c r="F744" s="161"/>
      <c r="G744" s="272" t="s">
        <v>990</v>
      </c>
      <c r="H744" s="1"/>
    </row>
    <row r="745" spans="2:8" ht="17.25" x14ac:dyDescent="0.25">
      <c r="B745" s="1"/>
      <c r="C745" s="270" t="s">
        <v>772</v>
      </c>
      <c r="D745" s="161"/>
      <c r="E745" s="162"/>
      <c r="F745" s="161"/>
      <c r="G745" s="272" t="s">
        <v>990</v>
      </c>
      <c r="H745" s="1"/>
    </row>
    <row r="746" spans="2:8" ht="17.25" x14ac:dyDescent="0.25">
      <c r="B746" s="1"/>
      <c r="C746" s="270" t="s">
        <v>773</v>
      </c>
      <c r="D746" s="161"/>
      <c r="E746" s="162"/>
      <c r="F746" s="161"/>
      <c r="G746" s="272" t="s">
        <v>990</v>
      </c>
      <c r="H746" s="1"/>
    </row>
    <row r="747" spans="2:8" ht="17.25" x14ac:dyDescent="0.25">
      <c r="B747" s="1"/>
      <c r="C747" s="270" t="s">
        <v>774</v>
      </c>
      <c r="D747" s="161"/>
      <c r="E747" s="162"/>
      <c r="F747" s="161"/>
      <c r="G747" s="272" t="s">
        <v>990</v>
      </c>
      <c r="H747" s="1"/>
    </row>
    <row r="748" spans="2:8" ht="17.25" x14ac:dyDescent="0.25">
      <c r="B748" s="1"/>
      <c r="C748" s="270" t="s">
        <v>775</v>
      </c>
      <c r="D748" s="161"/>
      <c r="E748" s="162"/>
      <c r="F748" s="161"/>
      <c r="G748" s="272" t="s">
        <v>990</v>
      </c>
      <c r="H748" s="1"/>
    </row>
    <row r="749" spans="2:8" ht="17.25" x14ac:dyDescent="0.25">
      <c r="B749" s="1"/>
      <c r="C749" s="270" t="s">
        <v>776</v>
      </c>
      <c r="D749" s="161"/>
      <c r="E749" s="162"/>
      <c r="F749" s="161"/>
      <c r="G749" s="272" t="s">
        <v>990</v>
      </c>
      <c r="H749" s="1"/>
    </row>
    <row r="750" spans="2:8" ht="17.25" x14ac:dyDescent="0.25">
      <c r="B750" s="1"/>
      <c r="C750" s="270" t="s">
        <v>777</v>
      </c>
      <c r="D750" s="161"/>
      <c r="E750" s="162"/>
      <c r="F750" s="161"/>
      <c r="G750" s="272" t="s">
        <v>990</v>
      </c>
      <c r="H750" s="1"/>
    </row>
    <row r="751" spans="2:8" ht="17.25" x14ac:dyDescent="0.25">
      <c r="B751" s="1"/>
      <c r="C751" s="270" t="s">
        <v>778</v>
      </c>
      <c r="D751" s="161"/>
      <c r="E751" s="162"/>
      <c r="F751" s="161"/>
      <c r="G751" s="272" t="s">
        <v>990</v>
      </c>
      <c r="H751" s="1"/>
    </row>
    <row r="752" spans="2:8" ht="17.25" x14ac:dyDescent="0.25">
      <c r="B752" s="1"/>
      <c r="C752" s="270" t="s">
        <v>779</v>
      </c>
      <c r="D752" s="161"/>
      <c r="E752" s="162"/>
      <c r="F752" s="161"/>
      <c r="G752" s="272" t="s">
        <v>990</v>
      </c>
      <c r="H752" s="1"/>
    </row>
    <row r="753" spans="2:8" ht="17.25" x14ac:dyDescent="0.25">
      <c r="B753" s="1"/>
      <c r="C753" s="270" t="s">
        <v>780</v>
      </c>
      <c r="D753" s="161">
        <v>75</v>
      </c>
      <c r="E753" s="162">
        <f t="shared" si="11"/>
        <v>109.64912280701753</v>
      </c>
      <c r="F753" s="161">
        <v>14.5</v>
      </c>
      <c r="G753" s="272" t="s">
        <v>990</v>
      </c>
      <c r="H753" s="1"/>
    </row>
    <row r="754" spans="2:8" ht="17.25" x14ac:dyDescent="0.25">
      <c r="B754" s="1"/>
      <c r="C754" s="270" t="s">
        <v>781</v>
      </c>
      <c r="D754" s="161"/>
      <c r="E754" s="162"/>
      <c r="F754" s="161"/>
      <c r="G754" s="272" t="s">
        <v>990</v>
      </c>
      <c r="H754" s="1"/>
    </row>
    <row r="755" spans="2:8" ht="17.25" x14ac:dyDescent="0.25">
      <c r="B755" s="1"/>
      <c r="C755" s="270" t="s">
        <v>782</v>
      </c>
      <c r="D755" s="161">
        <v>137</v>
      </c>
      <c r="E755" s="162">
        <f t="shared" si="11"/>
        <v>200.29239766081869</v>
      </c>
      <c r="F755" s="161">
        <v>14.5</v>
      </c>
      <c r="G755" s="272" t="s">
        <v>991</v>
      </c>
      <c r="H755" s="1"/>
    </row>
    <row r="756" spans="2:8" ht="17.25" x14ac:dyDescent="0.25">
      <c r="B756" s="1"/>
      <c r="C756" s="270" t="s">
        <v>783</v>
      </c>
      <c r="D756" s="161"/>
      <c r="E756" s="162"/>
      <c r="F756" s="161"/>
      <c r="G756" s="272" t="s">
        <v>991</v>
      </c>
      <c r="H756" s="1"/>
    </row>
    <row r="757" spans="2:8" ht="17.25" x14ac:dyDescent="0.25">
      <c r="B757" s="1"/>
      <c r="C757" s="270" t="s">
        <v>784</v>
      </c>
      <c r="D757" s="161"/>
      <c r="E757" s="162"/>
      <c r="F757" s="161"/>
      <c r="G757" s="272" t="s">
        <v>989</v>
      </c>
      <c r="H757" s="1"/>
    </row>
    <row r="758" spans="2:8" ht="17.25" x14ac:dyDescent="0.25">
      <c r="B758" s="1"/>
      <c r="C758" s="270" t="s">
        <v>785</v>
      </c>
      <c r="D758" s="161"/>
      <c r="E758" s="162"/>
      <c r="F758" s="161"/>
      <c r="G758" s="272" t="s">
        <v>989</v>
      </c>
      <c r="H758" s="1"/>
    </row>
    <row r="759" spans="2:8" ht="17.25" x14ac:dyDescent="0.25">
      <c r="B759" s="1"/>
      <c r="C759" s="270" t="s">
        <v>786</v>
      </c>
      <c r="D759" s="161"/>
      <c r="E759" s="162"/>
      <c r="F759" s="161"/>
      <c r="G759" s="272" t="s">
        <v>991</v>
      </c>
      <c r="H759" s="1"/>
    </row>
    <row r="760" spans="2:8" ht="17.25" x14ac:dyDescent="0.25">
      <c r="B760" s="1"/>
      <c r="C760" s="270" t="s">
        <v>787</v>
      </c>
      <c r="D760" s="161"/>
      <c r="E760" s="162"/>
      <c r="F760" s="161"/>
      <c r="G760" s="272" t="s">
        <v>991</v>
      </c>
      <c r="H760" s="1"/>
    </row>
    <row r="761" spans="2:8" ht="17.25" x14ac:dyDescent="0.25">
      <c r="B761" s="1"/>
      <c r="C761" s="270" t="s">
        <v>788</v>
      </c>
      <c r="D761" s="161">
        <v>193</v>
      </c>
      <c r="E761" s="162">
        <f t="shared" si="11"/>
        <v>282.16374269005848</v>
      </c>
      <c r="F761" s="161">
        <v>12</v>
      </c>
      <c r="G761" s="272" t="s">
        <v>993</v>
      </c>
      <c r="H761" s="1"/>
    </row>
    <row r="762" spans="2:8" ht="17.25" x14ac:dyDescent="0.25">
      <c r="B762" s="1"/>
      <c r="C762" s="270" t="s">
        <v>789</v>
      </c>
      <c r="D762" s="161"/>
      <c r="E762" s="162"/>
      <c r="F762" s="161"/>
      <c r="G762" s="272" t="s">
        <v>993</v>
      </c>
      <c r="H762" s="1"/>
    </row>
    <row r="763" spans="2:8" ht="17.25" x14ac:dyDescent="0.25">
      <c r="B763" s="1"/>
      <c r="C763" s="270" t="s">
        <v>790</v>
      </c>
      <c r="D763" s="161"/>
      <c r="E763" s="162"/>
      <c r="F763" s="161"/>
      <c r="G763" s="272" t="s">
        <v>991</v>
      </c>
      <c r="H763" s="1"/>
    </row>
    <row r="764" spans="2:8" ht="17.25" x14ac:dyDescent="0.25">
      <c r="B764" s="1"/>
      <c r="C764" s="270" t="s">
        <v>791</v>
      </c>
      <c r="D764" s="161"/>
      <c r="E764" s="162"/>
      <c r="F764" s="161"/>
      <c r="G764" s="272" t="s">
        <v>990</v>
      </c>
      <c r="H764" s="1"/>
    </row>
    <row r="765" spans="2:8" ht="17.25" x14ac:dyDescent="0.25">
      <c r="B765" s="1"/>
      <c r="C765" s="270" t="s">
        <v>792</v>
      </c>
      <c r="D765" s="161"/>
      <c r="E765" s="162"/>
      <c r="F765" s="161"/>
      <c r="G765" s="272" t="s">
        <v>989</v>
      </c>
      <c r="H765" s="1"/>
    </row>
    <row r="766" spans="2:8" ht="17.25" x14ac:dyDescent="0.25">
      <c r="B766" s="1"/>
      <c r="C766" s="270" t="s">
        <v>793</v>
      </c>
      <c r="D766" s="161"/>
      <c r="E766" s="162"/>
      <c r="F766" s="161"/>
      <c r="G766" s="272" t="s">
        <v>989</v>
      </c>
      <c r="H766" s="1"/>
    </row>
    <row r="767" spans="2:8" ht="17.25" x14ac:dyDescent="0.25">
      <c r="B767" s="1"/>
      <c r="C767" s="270" t="s">
        <v>794</v>
      </c>
      <c r="D767" s="161">
        <v>150</v>
      </c>
      <c r="E767" s="162">
        <f t="shared" si="11"/>
        <v>219.29824561403507</v>
      </c>
      <c r="F767" s="161">
        <v>12</v>
      </c>
      <c r="G767" s="272" t="s">
        <v>990</v>
      </c>
      <c r="H767" s="1"/>
    </row>
    <row r="768" spans="2:8" ht="17.25" x14ac:dyDescent="0.25">
      <c r="B768" s="1"/>
      <c r="C768" s="270" t="s">
        <v>795</v>
      </c>
      <c r="D768" s="161"/>
      <c r="E768" s="162"/>
      <c r="F768" s="161"/>
      <c r="G768" s="272" t="s">
        <v>990</v>
      </c>
      <c r="H768" s="1"/>
    </row>
    <row r="769" spans="2:8" ht="17.25" x14ac:dyDescent="0.25">
      <c r="B769" s="1"/>
      <c r="C769" s="270" t="s">
        <v>796</v>
      </c>
      <c r="D769" s="161"/>
      <c r="E769" s="162"/>
      <c r="F769" s="161"/>
      <c r="G769" s="272" t="s">
        <v>990</v>
      </c>
      <c r="H769" s="1"/>
    </row>
    <row r="770" spans="2:8" ht="17.25" x14ac:dyDescent="0.25">
      <c r="B770" s="1"/>
      <c r="C770" s="270" t="s">
        <v>797</v>
      </c>
      <c r="D770" s="161">
        <v>137</v>
      </c>
      <c r="E770" s="162">
        <f t="shared" si="11"/>
        <v>200.29239766081869</v>
      </c>
      <c r="F770" s="161">
        <v>14.5</v>
      </c>
      <c r="G770" s="272" t="s">
        <v>990</v>
      </c>
      <c r="H770" s="1"/>
    </row>
    <row r="771" spans="2:8" ht="17.25" x14ac:dyDescent="0.25">
      <c r="B771" s="1"/>
      <c r="C771" s="270" t="s">
        <v>798</v>
      </c>
      <c r="D771" s="161"/>
      <c r="E771" s="162"/>
      <c r="F771" s="161"/>
      <c r="G771" s="272" t="s">
        <v>989</v>
      </c>
      <c r="H771" s="1"/>
    </row>
    <row r="772" spans="2:8" ht="17.25" x14ac:dyDescent="0.25">
      <c r="B772" s="1"/>
      <c r="C772" s="270" t="s">
        <v>799</v>
      </c>
      <c r="D772" s="161"/>
      <c r="E772" s="162"/>
      <c r="F772" s="161"/>
      <c r="G772" s="272" t="s">
        <v>989</v>
      </c>
      <c r="H772" s="1"/>
    </row>
    <row r="773" spans="2:8" ht="17.25" x14ac:dyDescent="0.25">
      <c r="B773" s="1"/>
      <c r="C773" s="270" t="s">
        <v>800</v>
      </c>
      <c r="D773" s="161"/>
      <c r="E773" s="162"/>
      <c r="F773" s="161"/>
      <c r="G773" s="272" t="s">
        <v>989</v>
      </c>
      <c r="H773" s="1"/>
    </row>
    <row r="774" spans="2:8" ht="17.25" x14ac:dyDescent="0.25">
      <c r="B774" s="1"/>
      <c r="C774" s="270" t="s">
        <v>801</v>
      </c>
      <c r="D774" s="161">
        <v>158.30000000000001</v>
      </c>
      <c r="E774" s="162">
        <f t="shared" si="11"/>
        <v>231.43274853801171</v>
      </c>
      <c r="F774" s="161">
        <v>14.5</v>
      </c>
      <c r="G774" s="272" t="s">
        <v>991</v>
      </c>
      <c r="H774" s="1"/>
    </row>
    <row r="775" spans="2:8" ht="17.25" x14ac:dyDescent="0.25">
      <c r="B775" s="1"/>
      <c r="C775" s="270" t="s">
        <v>802</v>
      </c>
      <c r="D775" s="161"/>
      <c r="E775" s="162"/>
      <c r="F775" s="161"/>
      <c r="G775" s="272" t="s">
        <v>991</v>
      </c>
      <c r="H775" s="1"/>
    </row>
    <row r="776" spans="2:8" ht="17.25" x14ac:dyDescent="0.25">
      <c r="B776" s="1"/>
      <c r="C776" s="270" t="s">
        <v>803</v>
      </c>
      <c r="D776" s="161">
        <v>123</v>
      </c>
      <c r="E776" s="162">
        <f t="shared" si="11"/>
        <v>179.82456140350877</v>
      </c>
      <c r="F776" s="161">
        <v>14.5</v>
      </c>
      <c r="G776" s="272" t="s">
        <v>991</v>
      </c>
      <c r="H776" s="1"/>
    </row>
    <row r="777" spans="2:8" ht="17.25" x14ac:dyDescent="0.25">
      <c r="B777" s="1"/>
      <c r="C777" s="270" t="s">
        <v>804</v>
      </c>
      <c r="D777" s="161"/>
      <c r="E777" s="162"/>
      <c r="F777" s="161"/>
      <c r="G777" s="272" t="s">
        <v>991</v>
      </c>
      <c r="H777" s="1"/>
    </row>
    <row r="778" spans="2:8" ht="17.25" x14ac:dyDescent="0.25">
      <c r="B778" s="1"/>
      <c r="C778" s="270" t="s">
        <v>805</v>
      </c>
      <c r="D778" s="161"/>
      <c r="E778" s="162"/>
      <c r="F778" s="161"/>
      <c r="G778" s="272" t="s">
        <v>989</v>
      </c>
      <c r="H778" s="1"/>
    </row>
    <row r="779" spans="2:8" ht="17.25" x14ac:dyDescent="0.25">
      <c r="B779" s="1"/>
      <c r="C779" s="270" t="s">
        <v>806</v>
      </c>
      <c r="D779" s="161"/>
      <c r="E779" s="162"/>
      <c r="F779" s="161"/>
      <c r="G779" s="272" t="s">
        <v>989</v>
      </c>
      <c r="H779" s="1"/>
    </row>
    <row r="780" spans="2:8" ht="17.25" x14ac:dyDescent="0.25">
      <c r="B780" s="1"/>
      <c r="C780" s="270" t="s">
        <v>807</v>
      </c>
      <c r="D780" s="161"/>
      <c r="E780" s="162"/>
      <c r="F780" s="161"/>
      <c r="G780" s="272" t="s">
        <v>989</v>
      </c>
      <c r="H780" s="1"/>
    </row>
    <row r="781" spans="2:8" ht="17.25" x14ac:dyDescent="0.25">
      <c r="B781" s="1"/>
      <c r="C781" s="270" t="s">
        <v>808</v>
      </c>
      <c r="D781" s="161"/>
      <c r="E781" s="162"/>
      <c r="F781" s="161"/>
      <c r="G781" s="272" t="s">
        <v>989</v>
      </c>
      <c r="H781" s="1"/>
    </row>
    <row r="782" spans="2:8" ht="17.25" x14ac:dyDescent="0.25">
      <c r="B782" s="1"/>
      <c r="C782" s="270" t="s">
        <v>809</v>
      </c>
      <c r="D782" s="161"/>
      <c r="E782" s="162"/>
      <c r="F782" s="161"/>
      <c r="G782" s="272" t="s">
        <v>989</v>
      </c>
      <c r="H782" s="1"/>
    </row>
    <row r="783" spans="2:8" ht="17.25" x14ac:dyDescent="0.25">
      <c r="B783" s="1"/>
      <c r="C783" s="270" t="s">
        <v>810</v>
      </c>
      <c r="D783" s="161"/>
      <c r="E783" s="162"/>
      <c r="F783" s="161"/>
      <c r="G783" s="272" t="s">
        <v>989</v>
      </c>
      <c r="H783" s="1"/>
    </row>
    <row r="784" spans="2:8" ht="17.25" x14ac:dyDescent="0.25">
      <c r="B784" s="1"/>
      <c r="C784" s="270" t="s">
        <v>811</v>
      </c>
      <c r="D784" s="161"/>
      <c r="E784" s="162"/>
      <c r="F784" s="161"/>
      <c r="G784" s="272" t="s">
        <v>989</v>
      </c>
      <c r="H784" s="1"/>
    </row>
    <row r="785" spans="2:8" ht="17.25" x14ac:dyDescent="0.25">
      <c r="B785" s="1"/>
      <c r="C785" s="270" t="s">
        <v>812</v>
      </c>
      <c r="D785" s="161"/>
      <c r="E785" s="162"/>
      <c r="F785" s="161"/>
      <c r="G785" s="272" t="s">
        <v>989</v>
      </c>
      <c r="H785" s="1"/>
    </row>
    <row r="786" spans="2:8" ht="17.25" x14ac:dyDescent="0.25">
      <c r="B786" s="1"/>
      <c r="C786" s="270" t="s">
        <v>813</v>
      </c>
      <c r="D786" s="161"/>
      <c r="E786" s="162"/>
      <c r="F786" s="161"/>
      <c r="G786" s="272" t="s">
        <v>989</v>
      </c>
      <c r="H786" s="1"/>
    </row>
    <row r="787" spans="2:8" ht="17.25" x14ac:dyDescent="0.25">
      <c r="B787" s="1"/>
      <c r="C787" s="270" t="s">
        <v>814</v>
      </c>
      <c r="D787" s="161"/>
      <c r="E787" s="162"/>
      <c r="F787" s="161"/>
      <c r="G787" s="272" t="s">
        <v>989</v>
      </c>
      <c r="H787" s="1"/>
    </row>
    <row r="788" spans="2:8" ht="17.25" x14ac:dyDescent="0.25">
      <c r="B788" s="1"/>
      <c r="C788" s="270" t="s">
        <v>815</v>
      </c>
      <c r="D788" s="161"/>
      <c r="E788" s="162"/>
      <c r="F788" s="161"/>
      <c r="G788" s="272" t="s">
        <v>989</v>
      </c>
      <c r="H788" s="1"/>
    </row>
    <row r="789" spans="2:8" ht="17.25" x14ac:dyDescent="0.25">
      <c r="B789" s="1"/>
      <c r="C789" s="270" t="s">
        <v>816</v>
      </c>
      <c r="D789" s="161"/>
      <c r="E789" s="162"/>
      <c r="F789" s="161"/>
      <c r="G789" s="272" t="s">
        <v>989</v>
      </c>
      <c r="H789" s="1"/>
    </row>
    <row r="790" spans="2:8" ht="17.25" x14ac:dyDescent="0.25">
      <c r="B790" s="1"/>
      <c r="C790" s="270" t="s">
        <v>817</v>
      </c>
      <c r="D790" s="161"/>
      <c r="E790" s="162"/>
      <c r="F790" s="161"/>
      <c r="G790" s="272" t="s">
        <v>991</v>
      </c>
      <c r="H790" s="1"/>
    </row>
    <row r="791" spans="2:8" ht="17.25" x14ac:dyDescent="0.25">
      <c r="B791" s="1"/>
      <c r="C791" s="270" t="s">
        <v>818</v>
      </c>
      <c r="D791" s="161"/>
      <c r="E791" s="162"/>
      <c r="F791" s="161"/>
      <c r="G791" s="272" t="s">
        <v>991</v>
      </c>
      <c r="H791" s="1"/>
    </row>
    <row r="792" spans="2:8" ht="17.25" x14ac:dyDescent="0.25">
      <c r="B792" s="1"/>
      <c r="C792" s="270" t="s">
        <v>819</v>
      </c>
      <c r="D792" s="161"/>
      <c r="E792" s="162"/>
      <c r="F792" s="161"/>
      <c r="G792" s="272" t="s">
        <v>991</v>
      </c>
      <c r="H792" s="1"/>
    </row>
    <row r="793" spans="2:8" ht="17.25" x14ac:dyDescent="0.25">
      <c r="B793" s="1"/>
      <c r="C793" s="270" t="s">
        <v>820</v>
      </c>
      <c r="D793" s="161"/>
      <c r="E793" s="162"/>
      <c r="F793" s="161"/>
      <c r="G793" s="272" t="s">
        <v>991</v>
      </c>
      <c r="H793" s="1"/>
    </row>
    <row r="794" spans="2:8" ht="17.25" x14ac:dyDescent="0.25">
      <c r="B794" s="1"/>
      <c r="C794" s="270" t="s">
        <v>821</v>
      </c>
      <c r="D794" s="161"/>
      <c r="E794" s="162"/>
      <c r="F794" s="161"/>
      <c r="G794" s="272" t="s">
        <v>990</v>
      </c>
      <c r="H794" s="1"/>
    </row>
    <row r="795" spans="2:8" ht="17.25" x14ac:dyDescent="0.25">
      <c r="B795" s="1"/>
      <c r="C795" s="270" t="s">
        <v>822</v>
      </c>
      <c r="D795" s="161"/>
      <c r="E795" s="162"/>
      <c r="F795" s="161"/>
      <c r="G795" s="272" t="s">
        <v>990</v>
      </c>
      <c r="H795" s="1"/>
    </row>
    <row r="796" spans="2:8" ht="17.25" x14ac:dyDescent="0.25">
      <c r="B796" s="1"/>
      <c r="C796" s="270" t="s">
        <v>823</v>
      </c>
      <c r="D796" s="161">
        <v>106</v>
      </c>
      <c r="E796" s="162">
        <f t="shared" ref="E796:E851" si="12">D796/0.684</f>
        <v>154.97076023391813</v>
      </c>
      <c r="F796" s="161">
        <v>14.5</v>
      </c>
      <c r="G796" s="272" t="s">
        <v>990</v>
      </c>
      <c r="H796" s="1"/>
    </row>
    <row r="797" spans="2:8" ht="17.25" x14ac:dyDescent="0.25">
      <c r="B797" s="1"/>
      <c r="C797" s="270" t="s">
        <v>824</v>
      </c>
      <c r="D797" s="161">
        <v>150</v>
      </c>
      <c r="E797" s="162">
        <f t="shared" si="12"/>
        <v>219.29824561403507</v>
      </c>
      <c r="F797" s="161">
        <v>14.5</v>
      </c>
      <c r="G797" s="272" t="s">
        <v>990</v>
      </c>
      <c r="H797" s="1"/>
    </row>
    <row r="798" spans="2:8" ht="17.25" x14ac:dyDescent="0.25">
      <c r="B798" s="1"/>
      <c r="C798" s="270" t="s">
        <v>825</v>
      </c>
      <c r="D798" s="161">
        <v>75</v>
      </c>
      <c r="E798" s="162">
        <f t="shared" si="12"/>
        <v>109.64912280701753</v>
      </c>
      <c r="F798" s="161">
        <v>15.95</v>
      </c>
      <c r="G798" s="272" t="s">
        <v>991</v>
      </c>
      <c r="H798" s="1"/>
    </row>
    <row r="799" spans="2:8" ht="17.25" x14ac:dyDescent="0.25">
      <c r="B799" s="1"/>
      <c r="C799" s="270" t="s">
        <v>826</v>
      </c>
      <c r="D799" s="161">
        <v>75</v>
      </c>
      <c r="E799" s="162">
        <f t="shared" si="12"/>
        <v>109.64912280701753</v>
      </c>
      <c r="F799" s="161">
        <v>14.5</v>
      </c>
      <c r="G799" s="272" t="s">
        <v>991</v>
      </c>
      <c r="H799" s="1"/>
    </row>
    <row r="800" spans="2:8" ht="17.25" x14ac:dyDescent="0.25">
      <c r="B800" s="1"/>
      <c r="C800" s="270" t="s">
        <v>827</v>
      </c>
      <c r="D800" s="161"/>
      <c r="E800" s="162"/>
      <c r="F800" s="161"/>
      <c r="G800" s="272" t="s">
        <v>991</v>
      </c>
      <c r="H800" s="1"/>
    </row>
    <row r="801" spans="2:8" ht="17.25" x14ac:dyDescent="0.25">
      <c r="B801" s="1"/>
      <c r="C801" s="270" t="s">
        <v>828</v>
      </c>
      <c r="D801" s="161">
        <v>150.19999999999999</v>
      </c>
      <c r="E801" s="162">
        <f t="shared" si="12"/>
        <v>219.59064327485376</v>
      </c>
      <c r="F801" s="161">
        <v>14.5</v>
      </c>
      <c r="G801" s="272" t="s">
        <v>990</v>
      </c>
      <c r="H801" s="1"/>
    </row>
    <row r="802" spans="2:8" ht="17.25" x14ac:dyDescent="0.25">
      <c r="B802" s="1"/>
      <c r="C802" s="270" t="s">
        <v>829</v>
      </c>
      <c r="D802" s="161">
        <v>310</v>
      </c>
      <c r="E802" s="162">
        <f t="shared" si="12"/>
        <v>453.21637426900583</v>
      </c>
      <c r="F802" s="161">
        <v>12</v>
      </c>
      <c r="G802" s="272" t="s">
        <v>990</v>
      </c>
      <c r="H802" s="1"/>
    </row>
    <row r="803" spans="2:8" ht="17.25" x14ac:dyDescent="0.25">
      <c r="B803" s="1"/>
      <c r="C803" s="270" t="s">
        <v>830</v>
      </c>
      <c r="D803" s="161">
        <v>116</v>
      </c>
      <c r="E803" s="162">
        <f t="shared" si="12"/>
        <v>169.59064327485379</v>
      </c>
      <c r="F803" s="161">
        <v>14.5</v>
      </c>
      <c r="G803" s="272" t="s">
        <v>990</v>
      </c>
      <c r="H803" s="1"/>
    </row>
    <row r="804" spans="2:8" ht="17.25" x14ac:dyDescent="0.25">
      <c r="B804" s="1"/>
      <c r="C804" s="270" t="s">
        <v>831</v>
      </c>
      <c r="D804" s="161">
        <v>150</v>
      </c>
      <c r="E804" s="162">
        <f t="shared" si="12"/>
        <v>219.29824561403507</v>
      </c>
      <c r="F804" s="161">
        <v>14.5</v>
      </c>
      <c r="G804" s="272" t="s">
        <v>991</v>
      </c>
      <c r="H804" s="1"/>
    </row>
    <row r="805" spans="2:8" ht="17.25" x14ac:dyDescent="0.25">
      <c r="B805" s="1"/>
      <c r="C805" s="270" t="s">
        <v>832</v>
      </c>
      <c r="D805" s="161">
        <v>116</v>
      </c>
      <c r="E805" s="162">
        <f t="shared" si="12"/>
        <v>169.59064327485379</v>
      </c>
      <c r="F805" s="161">
        <v>14.5</v>
      </c>
      <c r="G805" s="272" t="s">
        <v>991</v>
      </c>
      <c r="H805" s="1"/>
    </row>
    <row r="806" spans="2:8" ht="17.25" x14ac:dyDescent="0.25">
      <c r="B806" s="1"/>
      <c r="C806" s="270" t="s">
        <v>833</v>
      </c>
      <c r="D806" s="161"/>
      <c r="E806" s="162"/>
      <c r="F806" s="161"/>
      <c r="G806" s="272" t="s">
        <v>990</v>
      </c>
      <c r="H806" s="1"/>
    </row>
    <row r="807" spans="2:8" ht="17.25" x14ac:dyDescent="0.25">
      <c r="B807" s="1"/>
      <c r="C807" s="270" t="s">
        <v>834</v>
      </c>
      <c r="D807" s="161"/>
      <c r="E807" s="162"/>
      <c r="F807" s="161"/>
      <c r="G807" s="272" t="s">
        <v>990</v>
      </c>
      <c r="H807" s="1"/>
    </row>
    <row r="808" spans="2:8" ht="17.25" x14ac:dyDescent="0.25">
      <c r="B808" s="1"/>
      <c r="C808" s="270" t="s">
        <v>835</v>
      </c>
      <c r="D808" s="161"/>
      <c r="E808" s="162"/>
      <c r="F808" s="161"/>
      <c r="G808" s="272" t="s">
        <v>991</v>
      </c>
      <c r="H808" s="1"/>
    </row>
    <row r="809" spans="2:8" ht="17.25" x14ac:dyDescent="0.25">
      <c r="B809" s="1"/>
      <c r="C809" s="270" t="s">
        <v>836</v>
      </c>
      <c r="D809" s="161"/>
      <c r="E809" s="162"/>
      <c r="F809" s="161"/>
      <c r="G809" s="272" t="s">
        <v>991</v>
      </c>
      <c r="H809" s="1"/>
    </row>
    <row r="810" spans="2:8" ht="17.25" x14ac:dyDescent="0.25">
      <c r="B810" s="1"/>
      <c r="C810" s="270" t="s">
        <v>837</v>
      </c>
      <c r="D810" s="161">
        <v>157.6</v>
      </c>
      <c r="E810" s="162">
        <f t="shared" si="12"/>
        <v>230.40935672514618</v>
      </c>
      <c r="F810" s="161">
        <v>12</v>
      </c>
      <c r="G810" s="272" t="s">
        <v>991</v>
      </c>
      <c r="H810" s="1"/>
    </row>
    <row r="811" spans="2:8" ht="17.25" x14ac:dyDescent="0.25">
      <c r="B811" s="1"/>
      <c r="C811" s="270" t="s">
        <v>838</v>
      </c>
      <c r="D811" s="161"/>
      <c r="E811" s="162"/>
      <c r="F811" s="161"/>
      <c r="G811" s="272" t="s">
        <v>991</v>
      </c>
      <c r="H811" s="1"/>
    </row>
    <row r="812" spans="2:8" ht="17.25" x14ac:dyDescent="0.25">
      <c r="B812" s="1"/>
      <c r="C812" s="270" t="s">
        <v>839</v>
      </c>
      <c r="D812" s="161">
        <v>172</v>
      </c>
      <c r="E812" s="162">
        <f t="shared" si="12"/>
        <v>251.46198830409355</v>
      </c>
      <c r="F812" s="161">
        <v>14.5</v>
      </c>
      <c r="G812" s="272" t="s">
        <v>990</v>
      </c>
      <c r="H812" s="1"/>
    </row>
    <row r="813" spans="2:8" ht="17.25" x14ac:dyDescent="0.25">
      <c r="B813" s="1"/>
      <c r="C813" s="270" t="s">
        <v>840</v>
      </c>
      <c r="D813" s="161"/>
      <c r="E813" s="162"/>
      <c r="F813" s="161"/>
      <c r="G813" s="272" t="s">
        <v>989</v>
      </c>
      <c r="H813" s="1"/>
    </row>
    <row r="814" spans="2:8" ht="17.25" x14ac:dyDescent="0.25">
      <c r="B814" s="1"/>
      <c r="C814" s="270" t="s">
        <v>841</v>
      </c>
      <c r="D814" s="161"/>
      <c r="E814" s="162"/>
      <c r="F814" s="161"/>
      <c r="G814" s="272" t="s">
        <v>989</v>
      </c>
      <c r="H814" s="1"/>
    </row>
    <row r="815" spans="2:8" ht="17.25" x14ac:dyDescent="0.25">
      <c r="B815" s="1"/>
      <c r="C815" s="270" t="s">
        <v>842</v>
      </c>
      <c r="D815" s="161">
        <v>90</v>
      </c>
      <c r="E815" s="162">
        <f t="shared" si="12"/>
        <v>131.57894736842104</v>
      </c>
      <c r="F815" s="161">
        <v>14.5</v>
      </c>
      <c r="G815" s="272" t="s">
        <v>991</v>
      </c>
      <c r="H815" s="1"/>
    </row>
    <row r="816" spans="2:8" ht="17.25" x14ac:dyDescent="0.25">
      <c r="B816" s="1"/>
      <c r="C816" s="270" t="s">
        <v>843</v>
      </c>
      <c r="D816" s="161"/>
      <c r="E816" s="162"/>
      <c r="F816" s="161"/>
      <c r="G816" s="272" t="s">
        <v>991</v>
      </c>
      <c r="H816" s="1"/>
    </row>
    <row r="817" spans="2:8" ht="17.25" x14ac:dyDescent="0.25">
      <c r="B817" s="1"/>
      <c r="C817" s="270" t="s">
        <v>844</v>
      </c>
      <c r="D817" s="161">
        <v>172</v>
      </c>
      <c r="E817" s="162">
        <f t="shared" si="12"/>
        <v>251.46198830409355</v>
      </c>
      <c r="F817" s="161">
        <v>14.5</v>
      </c>
      <c r="G817" s="272" t="s">
        <v>991</v>
      </c>
      <c r="H817" s="1"/>
    </row>
    <row r="818" spans="2:8" ht="17.25" x14ac:dyDescent="0.25">
      <c r="B818" s="1"/>
      <c r="C818" s="270" t="s">
        <v>845</v>
      </c>
      <c r="D818" s="161"/>
      <c r="E818" s="162"/>
      <c r="F818" s="161"/>
      <c r="G818" s="272" t="s">
        <v>991</v>
      </c>
      <c r="H818" s="1"/>
    </row>
    <row r="819" spans="2:8" ht="17.25" x14ac:dyDescent="0.25">
      <c r="B819" s="1"/>
      <c r="C819" s="270" t="s">
        <v>846</v>
      </c>
      <c r="D819" s="161">
        <v>172</v>
      </c>
      <c r="E819" s="162">
        <f t="shared" si="12"/>
        <v>251.46198830409355</v>
      </c>
      <c r="F819" s="161">
        <v>14.5</v>
      </c>
      <c r="G819" s="272" t="s">
        <v>991</v>
      </c>
      <c r="H819" s="1"/>
    </row>
    <row r="820" spans="2:8" ht="17.25" x14ac:dyDescent="0.25">
      <c r="B820" s="1"/>
      <c r="C820" s="270" t="s">
        <v>847</v>
      </c>
      <c r="D820" s="161"/>
      <c r="E820" s="162"/>
      <c r="F820" s="161"/>
      <c r="G820" s="272" t="s">
        <v>991</v>
      </c>
      <c r="H820" s="1"/>
    </row>
    <row r="821" spans="2:8" ht="17.25" x14ac:dyDescent="0.25">
      <c r="B821" s="1"/>
      <c r="C821" s="270" t="s">
        <v>848</v>
      </c>
      <c r="D821" s="161"/>
      <c r="E821" s="162"/>
      <c r="F821" s="161"/>
      <c r="G821" s="272" t="s">
        <v>994</v>
      </c>
      <c r="H821" s="1"/>
    </row>
    <row r="822" spans="2:8" ht="17.25" x14ac:dyDescent="0.25">
      <c r="B822" s="1"/>
      <c r="C822" s="270" t="s">
        <v>849</v>
      </c>
      <c r="D822" s="161">
        <v>150</v>
      </c>
      <c r="E822" s="162">
        <f t="shared" si="12"/>
        <v>219.29824561403507</v>
      </c>
      <c r="F822" s="161">
        <v>14.5</v>
      </c>
      <c r="G822" s="272" t="s">
        <v>991</v>
      </c>
      <c r="H822" s="1"/>
    </row>
    <row r="823" spans="2:8" ht="17.25" x14ac:dyDescent="0.25">
      <c r="B823" s="1"/>
      <c r="C823" s="270" t="s">
        <v>850</v>
      </c>
      <c r="D823" s="161"/>
      <c r="E823" s="162"/>
      <c r="F823" s="161"/>
      <c r="G823" s="272" t="s">
        <v>991</v>
      </c>
      <c r="H823" s="1"/>
    </row>
    <row r="824" spans="2:8" ht="17.25" x14ac:dyDescent="0.25">
      <c r="B824" s="1"/>
      <c r="C824" s="270" t="s">
        <v>851</v>
      </c>
      <c r="D824" s="161"/>
      <c r="E824" s="162"/>
      <c r="F824" s="161"/>
      <c r="G824" s="272" t="s">
        <v>991</v>
      </c>
      <c r="H824" s="1"/>
    </row>
    <row r="825" spans="2:8" ht="17.25" x14ac:dyDescent="0.25">
      <c r="B825" s="1"/>
      <c r="C825" s="270" t="s">
        <v>852</v>
      </c>
      <c r="D825" s="161"/>
      <c r="E825" s="162"/>
      <c r="F825" s="161"/>
      <c r="G825" s="272" t="s">
        <v>989</v>
      </c>
      <c r="H825" s="1"/>
    </row>
    <row r="826" spans="2:8" ht="17.25" x14ac:dyDescent="0.25">
      <c r="B826" s="1"/>
      <c r="C826" s="270" t="s">
        <v>853</v>
      </c>
      <c r="D826" s="161"/>
      <c r="E826" s="162"/>
      <c r="F826" s="161"/>
      <c r="G826" s="272" t="s">
        <v>989</v>
      </c>
      <c r="H826" s="1"/>
    </row>
    <row r="827" spans="2:8" ht="17.25" x14ac:dyDescent="0.25">
      <c r="B827" s="1"/>
      <c r="C827" s="270" t="s">
        <v>854</v>
      </c>
      <c r="D827" s="161">
        <v>137</v>
      </c>
      <c r="E827" s="162">
        <f t="shared" si="12"/>
        <v>200.29239766081869</v>
      </c>
      <c r="F827" s="161">
        <v>14.5</v>
      </c>
      <c r="G827" s="272" t="s">
        <v>990</v>
      </c>
      <c r="H827" s="1"/>
    </row>
    <row r="828" spans="2:8" ht="17.25" x14ac:dyDescent="0.25">
      <c r="B828" s="1"/>
      <c r="C828" s="270" t="s">
        <v>855</v>
      </c>
      <c r="D828" s="161">
        <v>137</v>
      </c>
      <c r="E828" s="162">
        <f t="shared" si="12"/>
        <v>200.29239766081869</v>
      </c>
      <c r="F828" s="161">
        <v>14.5</v>
      </c>
      <c r="G828" s="272" t="s">
        <v>991</v>
      </c>
      <c r="H828" s="1"/>
    </row>
    <row r="829" spans="2:8" ht="17.25" x14ac:dyDescent="0.25">
      <c r="B829" s="1"/>
      <c r="C829" s="270" t="s">
        <v>856</v>
      </c>
      <c r="D829" s="161">
        <v>137</v>
      </c>
      <c r="E829" s="162">
        <f t="shared" si="12"/>
        <v>200.29239766081869</v>
      </c>
      <c r="F829" s="161">
        <v>14.5</v>
      </c>
      <c r="G829" s="272" t="s">
        <v>991</v>
      </c>
      <c r="H829" s="1"/>
    </row>
    <row r="830" spans="2:8" ht="17.25" x14ac:dyDescent="0.25">
      <c r="B830" s="1"/>
      <c r="C830" s="270" t="s">
        <v>857</v>
      </c>
      <c r="D830" s="161"/>
      <c r="E830" s="162"/>
      <c r="F830" s="161"/>
      <c r="G830" s="272" t="s">
        <v>991</v>
      </c>
      <c r="H830" s="1"/>
    </row>
    <row r="831" spans="2:8" ht="17.25" x14ac:dyDescent="0.25">
      <c r="B831" s="1"/>
      <c r="C831" s="270" t="s">
        <v>858</v>
      </c>
      <c r="D831" s="161">
        <v>137</v>
      </c>
      <c r="E831" s="162">
        <f t="shared" si="12"/>
        <v>200.29239766081869</v>
      </c>
      <c r="F831" s="161">
        <v>14.5</v>
      </c>
      <c r="G831" s="272" t="s">
        <v>991</v>
      </c>
      <c r="H831" s="1"/>
    </row>
    <row r="832" spans="2:8" ht="17.25" x14ac:dyDescent="0.25">
      <c r="B832" s="1"/>
      <c r="C832" s="270" t="s">
        <v>859</v>
      </c>
      <c r="D832" s="161"/>
      <c r="E832" s="162"/>
      <c r="F832" s="161"/>
      <c r="G832" s="272" t="s">
        <v>991</v>
      </c>
      <c r="H832" s="1"/>
    </row>
    <row r="833" spans="2:8" ht="17.25" x14ac:dyDescent="0.25">
      <c r="B833" s="1"/>
      <c r="C833" s="270" t="s">
        <v>860</v>
      </c>
      <c r="D833" s="161"/>
      <c r="E833" s="162"/>
      <c r="F833" s="161"/>
      <c r="G833" s="272" t="s">
        <v>989</v>
      </c>
      <c r="H833" s="1"/>
    </row>
    <row r="834" spans="2:8" ht="17.25" x14ac:dyDescent="0.25">
      <c r="B834" s="1"/>
      <c r="C834" s="270" t="s">
        <v>861</v>
      </c>
      <c r="D834" s="161">
        <v>137</v>
      </c>
      <c r="E834" s="162">
        <f t="shared" si="12"/>
        <v>200.29239766081869</v>
      </c>
      <c r="F834" s="161">
        <v>14.5</v>
      </c>
      <c r="G834" s="272" t="s">
        <v>990</v>
      </c>
      <c r="H834" s="1"/>
    </row>
    <row r="835" spans="2:8" ht="17.25" x14ac:dyDescent="0.25">
      <c r="B835" s="1"/>
      <c r="C835" s="270" t="s">
        <v>862</v>
      </c>
      <c r="D835" s="161">
        <v>137</v>
      </c>
      <c r="E835" s="162">
        <f t="shared" si="12"/>
        <v>200.29239766081869</v>
      </c>
      <c r="F835" s="161"/>
      <c r="G835" s="272" t="s">
        <v>990</v>
      </c>
      <c r="H835" s="1"/>
    </row>
    <row r="836" spans="2:8" ht="17.25" x14ac:dyDescent="0.25">
      <c r="B836" s="1"/>
      <c r="C836" s="270" t="s">
        <v>863</v>
      </c>
      <c r="D836" s="161">
        <v>150</v>
      </c>
      <c r="E836" s="162">
        <f t="shared" si="12"/>
        <v>219.29824561403507</v>
      </c>
      <c r="F836" s="161">
        <v>12</v>
      </c>
      <c r="G836" s="272" t="s">
        <v>991</v>
      </c>
      <c r="H836" s="1"/>
    </row>
    <row r="837" spans="2:8" ht="17.25" x14ac:dyDescent="0.25">
      <c r="B837" s="1"/>
      <c r="C837" s="270" t="s">
        <v>864</v>
      </c>
      <c r="D837" s="161"/>
      <c r="E837" s="162"/>
      <c r="F837" s="161"/>
      <c r="G837" s="272" t="s">
        <v>991</v>
      </c>
      <c r="H837" s="1"/>
    </row>
    <row r="838" spans="2:8" ht="17.25" x14ac:dyDescent="0.25">
      <c r="B838" s="1"/>
      <c r="C838" s="270" t="s">
        <v>865</v>
      </c>
      <c r="D838" s="161">
        <v>116</v>
      </c>
      <c r="E838" s="162">
        <f t="shared" si="12"/>
        <v>169.59064327485379</v>
      </c>
      <c r="F838" s="161">
        <v>12</v>
      </c>
      <c r="G838" s="272" t="s">
        <v>991</v>
      </c>
      <c r="H838" s="1"/>
    </row>
    <row r="839" spans="2:8" ht="17.25" x14ac:dyDescent="0.25">
      <c r="B839" s="1"/>
      <c r="C839" s="270" t="s">
        <v>866</v>
      </c>
      <c r="D839" s="161">
        <v>150</v>
      </c>
      <c r="E839" s="162">
        <f t="shared" si="12"/>
        <v>219.29824561403507</v>
      </c>
      <c r="F839" s="161">
        <v>12</v>
      </c>
      <c r="G839" s="272" t="s">
        <v>990</v>
      </c>
      <c r="H839" s="1"/>
    </row>
    <row r="840" spans="2:8" ht="17.25" x14ac:dyDescent="0.25">
      <c r="B840" s="1"/>
      <c r="C840" s="270" t="s">
        <v>867</v>
      </c>
      <c r="D840" s="161"/>
      <c r="E840" s="162"/>
      <c r="F840" s="161"/>
      <c r="G840" s="272" t="s">
        <v>989</v>
      </c>
      <c r="H840" s="1"/>
    </row>
    <row r="841" spans="2:8" ht="17.25" x14ac:dyDescent="0.25">
      <c r="B841" s="1"/>
      <c r="C841" s="270" t="s">
        <v>868</v>
      </c>
      <c r="D841" s="161"/>
      <c r="E841" s="162"/>
      <c r="F841" s="161"/>
      <c r="G841" s="272" t="s">
        <v>989</v>
      </c>
      <c r="H841" s="1"/>
    </row>
    <row r="842" spans="2:8" ht="17.25" x14ac:dyDescent="0.25">
      <c r="B842" s="1"/>
      <c r="C842" s="270" t="s">
        <v>869</v>
      </c>
      <c r="D842" s="161">
        <v>150</v>
      </c>
      <c r="E842" s="162">
        <f t="shared" si="12"/>
        <v>219.29824561403507</v>
      </c>
      <c r="F842" s="161">
        <v>12</v>
      </c>
      <c r="G842" s="272" t="s">
        <v>990</v>
      </c>
      <c r="H842" s="1"/>
    </row>
    <row r="843" spans="2:8" ht="17.25" x14ac:dyDescent="0.25">
      <c r="B843" s="1"/>
      <c r="C843" s="270" t="s">
        <v>870</v>
      </c>
      <c r="D843" s="161">
        <v>137</v>
      </c>
      <c r="E843" s="162">
        <f t="shared" si="12"/>
        <v>200.29239766081869</v>
      </c>
      <c r="F843" s="161">
        <v>12</v>
      </c>
      <c r="G843" s="272" t="s">
        <v>990</v>
      </c>
      <c r="H843" s="1"/>
    </row>
    <row r="844" spans="2:8" ht="17.25" x14ac:dyDescent="0.25">
      <c r="B844" s="1"/>
      <c r="C844" s="270" t="s">
        <v>871</v>
      </c>
      <c r="D844" s="161">
        <v>137</v>
      </c>
      <c r="E844" s="162">
        <f t="shared" si="12"/>
        <v>200.29239766081869</v>
      </c>
      <c r="F844" s="161">
        <v>12</v>
      </c>
      <c r="G844" s="272" t="s">
        <v>990</v>
      </c>
      <c r="H844" s="1"/>
    </row>
    <row r="845" spans="2:8" ht="17.25" x14ac:dyDescent="0.25">
      <c r="B845" s="1"/>
      <c r="C845" s="270" t="s">
        <v>872</v>
      </c>
      <c r="D845" s="161">
        <v>310.10000000000002</v>
      </c>
      <c r="E845" s="162">
        <f t="shared" si="12"/>
        <v>453.36257309941521</v>
      </c>
      <c r="F845" s="161">
        <v>12</v>
      </c>
      <c r="G845" s="272" t="s">
        <v>991</v>
      </c>
      <c r="H845" s="1"/>
    </row>
    <row r="846" spans="2:8" ht="17.25" x14ac:dyDescent="0.25">
      <c r="B846" s="1"/>
      <c r="C846" s="270" t="s">
        <v>873</v>
      </c>
      <c r="D846" s="161">
        <v>172</v>
      </c>
      <c r="E846" s="162">
        <f t="shared" si="12"/>
        <v>251.46198830409355</v>
      </c>
      <c r="F846" s="161">
        <v>12</v>
      </c>
      <c r="G846" s="272" t="s">
        <v>990</v>
      </c>
      <c r="H846" s="1"/>
    </row>
    <row r="847" spans="2:8" ht="17.25" x14ac:dyDescent="0.25">
      <c r="B847" s="1"/>
      <c r="C847" s="270" t="s">
        <v>874</v>
      </c>
      <c r="D847" s="161">
        <v>128.80000000000001</v>
      </c>
      <c r="E847" s="162">
        <f t="shared" si="12"/>
        <v>188.30409356725147</v>
      </c>
      <c r="F847" s="161">
        <v>14.5</v>
      </c>
      <c r="G847" s="272" t="s">
        <v>991</v>
      </c>
      <c r="H847" s="1"/>
    </row>
    <row r="848" spans="2:8" ht="17.25" x14ac:dyDescent="0.25">
      <c r="B848" s="1"/>
      <c r="C848" s="270" t="s">
        <v>875</v>
      </c>
      <c r="D848" s="161"/>
      <c r="E848" s="162"/>
      <c r="F848" s="161"/>
      <c r="G848" s="272" t="s">
        <v>991</v>
      </c>
      <c r="H848" s="1"/>
    </row>
    <row r="849" spans="2:8" ht="17.25" x14ac:dyDescent="0.25">
      <c r="B849" s="1"/>
      <c r="C849" s="270" t="s">
        <v>876</v>
      </c>
      <c r="D849" s="161">
        <v>155.19999999999999</v>
      </c>
      <c r="E849" s="162">
        <f t="shared" si="12"/>
        <v>226.90058479532161</v>
      </c>
      <c r="F849" s="161">
        <v>14.5</v>
      </c>
      <c r="G849" s="272" t="s">
        <v>991</v>
      </c>
      <c r="H849" s="1"/>
    </row>
    <row r="850" spans="2:8" ht="17.25" x14ac:dyDescent="0.25">
      <c r="B850" s="1"/>
      <c r="C850" s="270" t="s">
        <v>877</v>
      </c>
      <c r="D850" s="161"/>
      <c r="E850" s="162"/>
      <c r="F850" s="161"/>
      <c r="G850" s="272" t="s">
        <v>991</v>
      </c>
      <c r="H850" s="1"/>
    </row>
    <row r="851" spans="2:8" ht="17.25" x14ac:dyDescent="0.25">
      <c r="B851" s="1"/>
      <c r="C851" s="270" t="s">
        <v>878</v>
      </c>
      <c r="D851" s="161">
        <v>137</v>
      </c>
      <c r="E851" s="162">
        <f t="shared" si="12"/>
        <v>200.29239766081869</v>
      </c>
      <c r="F851" s="161">
        <v>14.5</v>
      </c>
      <c r="G851" s="272" t="s">
        <v>990</v>
      </c>
      <c r="H851" s="1"/>
    </row>
    <row r="852" spans="2:8" ht="17.25" x14ac:dyDescent="0.25">
      <c r="B852" s="1"/>
      <c r="C852" s="270" t="s">
        <v>879</v>
      </c>
      <c r="D852" s="161">
        <v>137</v>
      </c>
      <c r="E852" s="162">
        <f t="shared" ref="E852:E915" si="13">D852/0.684</f>
        <v>200.29239766081869</v>
      </c>
      <c r="F852" s="161">
        <v>14.5</v>
      </c>
      <c r="G852" s="272" t="s">
        <v>990</v>
      </c>
      <c r="H852" s="1"/>
    </row>
    <row r="853" spans="2:8" ht="17.25" x14ac:dyDescent="0.25">
      <c r="B853" s="1"/>
      <c r="C853" s="270" t="s">
        <v>880</v>
      </c>
      <c r="D853" s="161"/>
      <c r="E853" s="162"/>
      <c r="F853" s="161"/>
      <c r="G853" s="272" t="s">
        <v>991</v>
      </c>
      <c r="H853" s="1"/>
    </row>
    <row r="854" spans="2:8" ht="17.25" x14ac:dyDescent="0.25">
      <c r="B854" s="1"/>
      <c r="C854" s="270" t="s">
        <v>881</v>
      </c>
      <c r="D854" s="161">
        <v>237</v>
      </c>
      <c r="E854" s="162">
        <f t="shared" si="13"/>
        <v>346.4912280701754</v>
      </c>
      <c r="F854" s="161">
        <v>14.5</v>
      </c>
      <c r="G854" s="272" t="s">
        <v>990</v>
      </c>
      <c r="H854" s="1"/>
    </row>
    <row r="855" spans="2:8" ht="17.25" x14ac:dyDescent="0.25">
      <c r="B855" s="1"/>
      <c r="C855" s="270" t="s">
        <v>882</v>
      </c>
      <c r="D855" s="161">
        <v>213</v>
      </c>
      <c r="E855" s="162">
        <f t="shared" si="13"/>
        <v>311.40350877192981</v>
      </c>
      <c r="F855" s="161">
        <v>15.95</v>
      </c>
      <c r="G855" s="272" t="s">
        <v>991</v>
      </c>
      <c r="H855" s="1"/>
    </row>
    <row r="856" spans="2:8" ht="17.25" x14ac:dyDescent="0.25">
      <c r="B856" s="1"/>
      <c r="C856" s="270" t="s">
        <v>883</v>
      </c>
      <c r="D856" s="161">
        <v>261</v>
      </c>
      <c r="E856" s="162">
        <f t="shared" si="13"/>
        <v>381.57894736842104</v>
      </c>
      <c r="F856" s="161">
        <v>15.95</v>
      </c>
      <c r="G856" s="272" t="s">
        <v>991</v>
      </c>
      <c r="H856" s="1"/>
    </row>
    <row r="857" spans="2:8" ht="17.25" x14ac:dyDescent="0.25">
      <c r="B857" s="1"/>
      <c r="C857" s="270" t="s">
        <v>884</v>
      </c>
      <c r="D857" s="161">
        <v>150</v>
      </c>
      <c r="E857" s="162">
        <f t="shared" si="13"/>
        <v>219.29824561403507</v>
      </c>
      <c r="F857" s="161">
        <v>14.5</v>
      </c>
      <c r="G857" s="272" t="s">
        <v>990</v>
      </c>
      <c r="H857" s="1"/>
    </row>
    <row r="858" spans="2:8" ht="17.25" x14ac:dyDescent="0.25">
      <c r="B858" s="1"/>
      <c r="C858" s="270" t="s">
        <v>885</v>
      </c>
      <c r="D858" s="161">
        <v>75</v>
      </c>
      <c r="E858" s="162">
        <f t="shared" si="13"/>
        <v>109.64912280701753</v>
      </c>
      <c r="F858" s="161">
        <v>14.5</v>
      </c>
      <c r="G858" s="272" t="s">
        <v>991</v>
      </c>
      <c r="H858" s="1"/>
    </row>
    <row r="859" spans="2:8" ht="17.25" x14ac:dyDescent="0.25">
      <c r="B859" s="1"/>
      <c r="C859" s="270" t="s">
        <v>886</v>
      </c>
      <c r="D859" s="161">
        <v>237</v>
      </c>
      <c r="E859" s="162">
        <f t="shared" si="13"/>
        <v>346.4912280701754</v>
      </c>
      <c r="F859" s="161">
        <v>14.5</v>
      </c>
      <c r="G859" s="272" t="s">
        <v>991</v>
      </c>
      <c r="H859" s="1"/>
    </row>
    <row r="860" spans="2:8" ht="17.25" x14ac:dyDescent="0.25">
      <c r="B860" s="1"/>
      <c r="C860" s="270" t="s">
        <v>887</v>
      </c>
      <c r="D860" s="161">
        <v>106.3</v>
      </c>
      <c r="E860" s="162">
        <f t="shared" si="13"/>
        <v>155.40935672514618</v>
      </c>
      <c r="F860" s="161">
        <v>14.5</v>
      </c>
      <c r="G860" s="272" t="s">
        <v>991</v>
      </c>
      <c r="H860" s="1"/>
    </row>
    <row r="861" spans="2:8" ht="17.25" x14ac:dyDescent="0.25">
      <c r="B861" s="1"/>
      <c r="C861" s="270" t="s">
        <v>888</v>
      </c>
      <c r="D861" s="161">
        <v>187</v>
      </c>
      <c r="E861" s="162">
        <f t="shared" si="13"/>
        <v>273.39181286549706</v>
      </c>
      <c r="F861" s="161">
        <v>14.5</v>
      </c>
      <c r="G861" s="272" t="s">
        <v>991</v>
      </c>
      <c r="H861" s="1"/>
    </row>
    <row r="862" spans="2:8" ht="17.25" x14ac:dyDescent="0.25">
      <c r="B862" s="1"/>
      <c r="C862" s="270" t="s">
        <v>889</v>
      </c>
      <c r="D862" s="161"/>
      <c r="E862" s="162"/>
      <c r="F862" s="161"/>
      <c r="G862" s="272" t="s">
        <v>991</v>
      </c>
      <c r="H862" s="1"/>
    </row>
    <row r="863" spans="2:8" ht="17.25" x14ac:dyDescent="0.25">
      <c r="B863" s="1"/>
      <c r="C863" s="270" t="s">
        <v>890</v>
      </c>
      <c r="D863" s="161"/>
      <c r="E863" s="162"/>
      <c r="F863" s="161"/>
      <c r="G863" s="272" t="s">
        <v>991</v>
      </c>
      <c r="H863" s="1"/>
    </row>
    <row r="864" spans="2:8" ht="17.25" x14ac:dyDescent="0.25">
      <c r="B864" s="1"/>
      <c r="C864" s="270" t="s">
        <v>891</v>
      </c>
      <c r="D864" s="161"/>
      <c r="E864" s="162"/>
      <c r="F864" s="161"/>
      <c r="G864" s="272" t="s">
        <v>991</v>
      </c>
      <c r="H864" s="1"/>
    </row>
    <row r="865" spans="2:8" ht="17.25" x14ac:dyDescent="0.25">
      <c r="B865" s="1"/>
      <c r="C865" s="270" t="s">
        <v>892</v>
      </c>
      <c r="D865" s="161"/>
      <c r="E865" s="162"/>
      <c r="F865" s="161"/>
      <c r="G865" s="272" t="s">
        <v>989</v>
      </c>
      <c r="H865" s="1"/>
    </row>
    <row r="866" spans="2:8" ht="17.25" x14ac:dyDescent="0.25">
      <c r="B866" s="1"/>
      <c r="C866" s="270" t="s">
        <v>893</v>
      </c>
      <c r="D866" s="161"/>
      <c r="E866" s="162"/>
      <c r="F866" s="161"/>
      <c r="G866" s="272" t="s">
        <v>989</v>
      </c>
      <c r="H866" s="1"/>
    </row>
    <row r="867" spans="2:8" ht="17.25" x14ac:dyDescent="0.25">
      <c r="B867" s="1"/>
      <c r="C867" s="270" t="s">
        <v>894</v>
      </c>
      <c r="D867" s="161">
        <v>115.7</v>
      </c>
      <c r="E867" s="162">
        <f t="shared" si="13"/>
        <v>169.15204678362574</v>
      </c>
      <c r="F867" s="161">
        <v>14.5</v>
      </c>
      <c r="G867" s="272" t="s">
        <v>991</v>
      </c>
      <c r="H867" s="1"/>
    </row>
    <row r="868" spans="2:8" ht="17.25" x14ac:dyDescent="0.25">
      <c r="B868" s="1"/>
      <c r="C868" s="270" t="s">
        <v>895</v>
      </c>
      <c r="D868" s="161"/>
      <c r="E868" s="162"/>
      <c r="F868" s="161"/>
      <c r="G868" s="272" t="s">
        <v>991</v>
      </c>
      <c r="H868" s="1"/>
    </row>
    <row r="869" spans="2:8" ht="17.25" x14ac:dyDescent="0.25">
      <c r="B869" s="1"/>
      <c r="C869" s="270" t="s">
        <v>896</v>
      </c>
      <c r="D869" s="161"/>
      <c r="E869" s="162"/>
      <c r="F869" s="161"/>
      <c r="G869" s="272" t="s">
        <v>991</v>
      </c>
      <c r="H869" s="1"/>
    </row>
    <row r="870" spans="2:8" ht="17.25" x14ac:dyDescent="0.25">
      <c r="B870" s="1"/>
      <c r="C870" s="270" t="s">
        <v>897</v>
      </c>
      <c r="D870" s="161">
        <v>172</v>
      </c>
      <c r="E870" s="162">
        <f t="shared" si="13"/>
        <v>251.46198830409355</v>
      </c>
      <c r="F870" s="161">
        <v>14.5</v>
      </c>
      <c r="G870" s="272" t="s">
        <v>990</v>
      </c>
      <c r="H870" s="1"/>
    </row>
    <row r="871" spans="2:8" ht="17.25" x14ac:dyDescent="0.25">
      <c r="B871" s="1"/>
      <c r="C871" s="270" t="s">
        <v>898</v>
      </c>
      <c r="D871" s="161">
        <v>137</v>
      </c>
      <c r="E871" s="162">
        <f t="shared" si="13"/>
        <v>200.29239766081869</v>
      </c>
      <c r="F871" s="161">
        <v>14.5</v>
      </c>
      <c r="G871" s="272" t="s">
        <v>990</v>
      </c>
      <c r="H871" s="1"/>
    </row>
    <row r="872" spans="2:8" ht="17.25" x14ac:dyDescent="0.25">
      <c r="B872" s="1"/>
      <c r="C872" s="270" t="s">
        <v>899</v>
      </c>
      <c r="D872" s="161">
        <v>237</v>
      </c>
      <c r="E872" s="162">
        <f t="shared" si="13"/>
        <v>346.4912280701754</v>
      </c>
      <c r="F872" s="161">
        <v>14.5</v>
      </c>
      <c r="G872" s="272" t="s">
        <v>990</v>
      </c>
      <c r="H872" s="1"/>
    </row>
    <row r="873" spans="2:8" ht="17.25" x14ac:dyDescent="0.25">
      <c r="B873" s="1"/>
      <c r="C873" s="270" t="s">
        <v>900</v>
      </c>
      <c r="D873" s="161"/>
      <c r="E873" s="162"/>
      <c r="F873" s="161"/>
      <c r="G873" s="272" t="s">
        <v>995</v>
      </c>
      <c r="H873" s="1"/>
    </row>
    <row r="874" spans="2:8" ht="17.25" x14ac:dyDescent="0.25">
      <c r="B874" s="1"/>
      <c r="C874" s="270" t="s">
        <v>901</v>
      </c>
      <c r="D874" s="161"/>
      <c r="E874" s="162"/>
      <c r="F874" s="161"/>
      <c r="G874" s="272" t="s">
        <v>995</v>
      </c>
      <c r="H874" s="1"/>
    </row>
    <row r="875" spans="2:8" ht="17.25" x14ac:dyDescent="0.25">
      <c r="B875" s="1"/>
      <c r="C875" s="270" t="s">
        <v>902</v>
      </c>
      <c r="D875" s="161"/>
      <c r="E875" s="162"/>
      <c r="F875" s="161"/>
      <c r="G875" s="272" t="s">
        <v>995</v>
      </c>
      <c r="H875" s="1"/>
    </row>
    <row r="876" spans="2:8" ht="17.25" x14ac:dyDescent="0.25">
      <c r="B876" s="1"/>
      <c r="C876" s="270" t="s">
        <v>903</v>
      </c>
      <c r="D876" s="161"/>
      <c r="E876" s="162"/>
      <c r="F876" s="161"/>
      <c r="G876" s="272" t="s">
        <v>995</v>
      </c>
      <c r="H876" s="1"/>
    </row>
    <row r="877" spans="2:8" ht="17.25" x14ac:dyDescent="0.25">
      <c r="B877" s="1"/>
      <c r="C877" s="270" t="s">
        <v>904</v>
      </c>
      <c r="D877" s="161">
        <v>150</v>
      </c>
      <c r="E877" s="162">
        <f t="shared" si="13"/>
        <v>219.29824561403507</v>
      </c>
      <c r="F877" s="161">
        <v>14.5</v>
      </c>
      <c r="G877" s="272" t="s">
        <v>990</v>
      </c>
      <c r="H877" s="1"/>
    </row>
    <row r="878" spans="2:8" ht="17.25" x14ac:dyDescent="0.25">
      <c r="B878" s="1"/>
      <c r="C878" s="270" t="s">
        <v>905</v>
      </c>
      <c r="D878" s="161"/>
      <c r="E878" s="162"/>
      <c r="F878" s="161"/>
      <c r="G878" s="272" t="s">
        <v>996</v>
      </c>
      <c r="H878" s="1"/>
    </row>
    <row r="879" spans="2:8" ht="17.25" x14ac:dyDescent="0.25">
      <c r="B879" s="1"/>
      <c r="C879" s="270" t="s">
        <v>906</v>
      </c>
      <c r="D879" s="161"/>
      <c r="E879" s="162"/>
      <c r="F879" s="161"/>
      <c r="G879" s="272" t="s">
        <v>996</v>
      </c>
      <c r="H879" s="1"/>
    </row>
    <row r="880" spans="2:8" ht="17.25" x14ac:dyDescent="0.25">
      <c r="B880" s="1"/>
      <c r="C880" s="270" t="s">
        <v>907</v>
      </c>
      <c r="D880" s="161"/>
      <c r="E880" s="162"/>
      <c r="F880" s="161"/>
      <c r="G880" s="272" t="s">
        <v>995</v>
      </c>
      <c r="H880" s="1"/>
    </row>
    <row r="881" spans="2:8" ht="17.25" x14ac:dyDescent="0.25">
      <c r="B881" s="1"/>
      <c r="C881" s="270" t="s">
        <v>908</v>
      </c>
      <c r="D881" s="161"/>
      <c r="E881" s="162"/>
      <c r="F881" s="161"/>
      <c r="G881" s="272" t="s">
        <v>995</v>
      </c>
      <c r="H881" s="1"/>
    </row>
    <row r="882" spans="2:8" ht="17.25" x14ac:dyDescent="0.25">
      <c r="B882" s="1"/>
      <c r="C882" s="270" t="s">
        <v>909</v>
      </c>
      <c r="D882" s="161">
        <v>106</v>
      </c>
      <c r="E882" s="162">
        <f t="shared" si="13"/>
        <v>154.97076023391813</v>
      </c>
      <c r="F882" s="161">
        <v>14.5</v>
      </c>
      <c r="G882" s="272" t="s">
        <v>990</v>
      </c>
      <c r="H882" s="1"/>
    </row>
    <row r="883" spans="2:8" ht="17.25" x14ac:dyDescent="0.25">
      <c r="B883" s="1"/>
      <c r="C883" s="270" t="s">
        <v>910</v>
      </c>
      <c r="D883" s="161"/>
      <c r="E883" s="162"/>
      <c r="F883" s="161"/>
      <c r="G883" s="272" t="s">
        <v>990</v>
      </c>
      <c r="H883" s="1"/>
    </row>
    <row r="884" spans="2:8" ht="17.25" x14ac:dyDescent="0.25">
      <c r="B884" s="1"/>
      <c r="C884" s="270" t="s">
        <v>911</v>
      </c>
      <c r="D884" s="161">
        <v>193</v>
      </c>
      <c r="E884" s="162">
        <f t="shared" si="13"/>
        <v>282.16374269005848</v>
      </c>
      <c r="F884" s="161">
        <v>12</v>
      </c>
      <c r="G884" s="272" t="s">
        <v>991</v>
      </c>
      <c r="H884" s="1"/>
    </row>
    <row r="885" spans="2:8" ht="17.25" x14ac:dyDescent="0.25">
      <c r="B885" s="1"/>
      <c r="C885" s="270" t="s">
        <v>912</v>
      </c>
      <c r="D885" s="161">
        <v>187</v>
      </c>
      <c r="E885" s="162">
        <f t="shared" si="13"/>
        <v>273.39181286549706</v>
      </c>
      <c r="F885" s="161">
        <v>12</v>
      </c>
      <c r="G885" s="272" t="s">
        <v>990</v>
      </c>
      <c r="H885" s="1"/>
    </row>
    <row r="886" spans="2:8" ht="17.25" x14ac:dyDescent="0.25">
      <c r="B886" s="1"/>
      <c r="C886" s="270" t="s">
        <v>913</v>
      </c>
      <c r="D886" s="161"/>
      <c r="E886" s="162"/>
      <c r="F886" s="161"/>
      <c r="G886" s="272" t="s">
        <v>991</v>
      </c>
      <c r="H886" s="1"/>
    </row>
    <row r="887" spans="2:8" ht="17.25" x14ac:dyDescent="0.25">
      <c r="B887" s="1"/>
      <c r="C887" s="270" t="s">
        <v>914</v>
      </c>
      <c r="D887" s="161"/>
      <c r="E887" s="162"/>
      <c r="F887" s="161"/>
      <c r="G887" s="272" t="s">
        <v>991</v>
      </c>
      <c r="H887" s="1"/>
    </row>
    <row r="888" spans="2:8" ht="17.25" x14ac:dyDescent="0.25">
      <c r="B888" s="1"/>
      <c r="C888" s="270" t="s">
        <v>915</v>
      </c>
      <c r="D888" s="161"/>
      <c r="E888" s="162"/>
      <c r="F888" s="161"/>
      <c r="G888" s="272" t="s">
        <v>990</v>
      </c>
      <c r="H888" s="1"/>
    </row>
    <row r="889" spans="2:8" ht="17.25" x14ac:dyDescent="0.25">
      <c r="B889" s="1"/>
      <c r="C889" s="270" t="s">
        <v>916</v>
      </c>
      <c r="D889" s="161">
        <v>137</v>
      </c>
      <c r="E889" s="162">
        <f t="shared" si="13"/>
        <v>200.29239766081869</v>
      </c>
      <c r="F889" s="161">
        <v>14.5</v>
      </c>
      <c r="G889" s="272" t="s">
        <v>990</v>
      </c>
      <c r="H889" s="1"/>
    </row>
    <row r="890" spans="2:8" ht="17.25" x14ac:dyDescent="0.25">
      <c r="B890" s="1"/>
      <c r="C890" s="270" t="s">
        <v>917</v>
      </c>
      <c r="D890" s="161">
        <v>60</v>
      </c>
      <c r="E890" s="162">
        <f t="shared" si="13"/>
        <v>87.719298245614027</v>
      </c>
      <c r="F890" s="161">
        <v>14.5</v>
      </c>
      <c r="G890" s="272" t="s">
        <v>991</v>
      </c>
      <c r="H890" s="1"/>
    </row>
    <row r="891" spans="2:8" ht="17.25" x14ac:dyDescent="0.25">
      <c r="B891" s="1"/>
      <c r="C891" s="270" t="s">
        <v>918</v>
      </c>
      <c r="D891" s="161">
        <v>150</v>
      </c>
      <c r="E891" s="162">
        <f t="shared" si="13"/>
        <v>219.29824561403507</v>
      </c>
      <c r="F891" s="161">
        <v>14.5</v>
      </c>
      <c r="G891" s="272" t="s">
        <v>991</v>
      </c>
      <c r="H891" s="1"/>
    </row>
    <row r="892" spans="2:8" ht="17.25" x14ac:dyDescent="0.25">
      <c r="B892" s="1"/>
      <c r="C892" s="270" t="s">
        <v>919</v>
      </c>
      <c r="D892" s="161"/>
      <c r="E892" s="162"/>
      <c r="F892" s="161"/>
      <c r="G892" s="272" t="s">
        <v>991</v>
      </c>
      <c r="H892" s="1"/>
    </row>
    <row r="893" spans="2:8" ht="17.25" x14ac:dyDescent="0.25">
      <c r="B893" s="1"/>
      <c r="C893" s="270" t="s">
        <v>920</v>
      </c>
      <c r="D893" s="161">
        <v>217</v>
      </c>
      <c r="E893" s="162">
        <f t="shared" si="13"/>
        <v>317.25146198830407</v>
      </c>
      <c r="F893" s="161">
        <v>12</v>
      </c>
      <c r="G893" s="272" t="s">
        <v>991</v>
      </c>
      <c r="H893" s="1"/>
    </row>
    <row r="894" spans="2:8" ht="17.25" x14ac:dyDescent="0.25">
      <c r="B894" s="1"/>
      <c r="C894" s="270" t="s">
        <v>921</v>
      </c>
      <c r="D894" s="161"/>
      <c r="E894" s="162"/>
      <c r="F894" s="161"/>
      <c r="G894" s="272" t="s">
        <v>991</v>
      </c>
      <c r="H894" s="1"/>
    </row>
    <row r="895" spans="2:8" ht="17.25" x14ac:dyDescent="0.25">
      <c r="B895" s="1"/>
      <c r="C895" s="270" t="s">
        <v>922</v>
      </c>
      <c r="D895" s="161">
        <v>269</v>
      </c>
      <c r="E895" s="162">
        <f t="shared" si="13"/>
        <v>393.27485380116957</v>
      </c>
      <c r="F895" s="161">
        <v>12</v>
      </c>
      <c r="G895" s="272" t="s">
        <v>991</v>
      </c>
      <c r="H895" s="1"/>
    </row>
    <row r="896" spans="2:8" ht="17.25" x14ac:dyDescent="0.25">
      <c r="B896" s="1"/>
      <c r="C896" s="270" t="s">
        <v>923</v>
      </c>
      <c r="D896" s="161"/>
      <c r="E896" s="162"/>
      <c r="F896" s="161"/>
      <c r="G896" s="272" t="s">
        <v>991</v>
      </c>
      <c r="H896" s="1"/>
    </row>
    <row r="897" spans="2:8" ht="17.25" x14ac:dyDescent="0.25">
      <c r="B897" s="1"/>
      <c r="C897" s="270" t="s">
        <v>924</v>
      </c>
      <c r="D897" s="161">
        <v>189.7</v>
      </c>
      <c r="E897" s="162">
        <f t="shared" si="13"/>
        <v>277.33918128654966</v>
      </c>
      <c r="F897" s="161">
        <v>12</v>
      </c>
      <c r="G897" s="272" t="s">
        <v>991</v>
      </c>
      <c r="H897" s="1"/>
    </row>
    <row r="898" spans="2:8" ht="17.25" x14ac:dyDescent="0.25">
      <c r="B898" s="1"/>
      <c r="C898" s="270" t="s">
        <v>925</v>
      </c>
      <c r="D898" s="161"/>
      <c r="E898" s="162"/>
      <c r="F898" s="161"/>
      <c r="G898" s="272" t="s">
        <v>991</v>
      </c>
      <c r="H898" s="1"/>
    </row>
    <row r="899" spans="2:8" ht="17.25" x14ac:dyDescent="0.25">
      <c r="B899" s="1"/>
      <c r="C899" s="270" t="s">
        <v>926</v>
      </c>
      <c r="D899" s="161">
        <v>116</v>
      </c>
      <c r="E899" s="162">
        <f t="shared" si="13"/>
        <v>169.59064327485379</v>
      </c>
      <c r="F899" s="161">
        <v>14.5</v>
      </c>
      <c r="G899" s="272" t="s">
        <v>990</v>
      </c>
      <c r="H899" s="1"/>
    </row>
    <row r="900" spans="2:8" ht="17.25" x14ac:dyDescent="0.25">
      <c r="B900" s="1"/>
      <c r="C900" s="270" t="s">
        <v>927</v>
      </c>
      <c r="D900" s="161"/>
      <c r="E900" s="162"/>
      <c r="F900" s="161"/>
      <c r="G900" s="272" t="s">
        <v>990</v>
      </c>
      <c r="H900" s="1"/>
    </row>
    <row r="901" spans="2:8" ht="17.25" x14ac:dyDescent="0.25">
      <c r="B901" s="1"/>
      <c r="C901" s="270" t="s">
        <v>928</v>
      </c>
      <c r="D901" s="161"/>
      <c r="E901" s="162"/>
      <c r="F901" s="161"/>
      <c r="G901" s="272" t="s">
        <v>990</v>
      </c>
      <c r="H901" s="1"/>
    </row>
    <row r="902" spans="2:8" ht="17.25" x14ac:dyDescent="0.25">
      <c r="B902" s="1"/>
      <c r="C902" s="270" t="s">
        <v>929</v>
      </c>
      <c r="D902" s="161">
        <v>189.7</v>
      </c>
      <c r="E902" s="162">
        <f t="shared" si="13"/>
        <v>277.33918128654966</v>
      </c>
      <c r="F902" s="161">
        <v>12</v>
      </c>
      <c r="G902" s="272" t="s">
        <v>991</v>
      </c>
      <c r="H902" s="1"/>
    </row>
    <row r="903" spans="2:8" ht="17.25" x14ac:dyDescent="0.25">
      <c r="B903" s="1"/>
      <c r="C903" s="270" t="s">
        <v>930</v>
      </c>
      <c r="D903" s="161"/>
      <c r="E903" s="162"/>
      <c r="F903" s="161"/>
      <c r="G903" s="272" t="s">
        <v>991</v>
      </c>
      <c r="H903" s="1"/>
    </row>
    <row r="904" spans="2:8" ht="17.25" x14ac:dyDescent="0.25">
      <c r="B904" s="1"/>
      <c r="C904" s="270" t="s">
        <v>931</v>
      </c>
      <c r="D904" s="161">
        <v>310.10000000000002</v>
      </c>
      <c r="E904" s="162">
        <f t="shared" si="13"/>
        <v>453.36257309941521</v>
      </c>
      <c r="F904" s="161">
        <v>14.5</v>
      </c>
      <c r="G904" s="272" t="s">
        <v>991</v>
      </c>
      <c r="H904" s="1"/>
    </row>
    <row r="905" spans="2:8" ht="17.25" x14ac:dyDescent="0.25">
      <c r="B905" s="1"/>
      <c r="C905" s="270" t="s">
        <v>932</v>
      </c>
      <c r="D905" s="161"/>
      <c r="E905" s="162"/>
      <c r="F905" s="161"/>
      <c r="G905" s="272" t="s">
        <v>991</v>
      </c>
      <c r="H905" s="1"/>
    </row>
    <row r="906" spans="2:8" ht="17.25" x14ac:dyDescent="0.25">
      <c r="B906" s="1"/>
      <c r="C906" s="270" t="s">
        <v>933</v>
      </c>
      <c r="D906" s="161">
        <v>194.6</v>
      </c>
      <c r="E906" s="162">
        <f t="shared" si="13"/>
        <v>284.50292397660814</v>
      </c>
      <c r="F906" s="161">
        <v>14.5</v>
      </c>
      <c r="G906" s="272" t="s">
        <v>991</v>
      </c>
      <c r="H906" s="1"/>
    </row>
    <row r="907" spans="2:8" ht="17.25" x14ac:dyDescent="0.25">
      <c r="B907" s="1"/>
      <c r="C907" s="270" t="s">
        <v>934</v>
      </c>
      <c r="D907" s="161"/>
      <c r="E907" s="162"/>
      <c r="F907" s="161"/>
      <c r="G907" s="272" t="s">
        <v>991</v>
      </c>
      <c r="H907" s="1"/>
    </row>
    <row r="908" spans="2:8" ht="17.25" x14ac:dyDescent="0.25">
      <c r="B908" s="1"/>
      <c r="C908" s="270" t="s">
        <v>935</v>
      </c>
      <c r="D908" s="161"/>
      <c r="E908" s="162"/>
      <c r="F908" s="161"/>
      <c r="G908" s="272" t="s">
        <v>991</v>
      </c>
      <c r="H908" s="1"/>
    </row>
    <row r="909" spans="2:8" ht="17.25" x14ac:dyDescent="0.25">
      <c r="B909" s="1"/>
      <c r="C909" s="270" t="s">
        <v>936</v>
      </c>
      <c r="D909" s="161"/>
      <c r="E909" s="162"/>
      <c r="F909" s="161"/>
      <c r="G909" s="272" t="s">
        <v>991</v>
      </c>
      <c r="H909" s="1"/>
    </row>
    <row r="910" spans="2:8" ht="17.25" x14ac:dyDescent="0.25">
      <c r="B910" s="1"/>
      <c r="C910" s="270" t="s">
        <v>937</v>
      </c>
      <c r="D910" s="161">
        <v>172.2</v>
      </c>
      <c r="E910" s="162">
        <f t="shared" si="13"/>
        <v>251.75438596491225</v>
      </c>
      <c r="F910" s="161">
        <v>14.5</v>
      </c>
      <c r="G910" s="272" t="s">
        <v>991</v>
      </c>
      <c r="H910" s="1"/>
    </row>
    <row r="911" spans="2:8" ht="17.25" x14ac:dyDescent="0.25">
      <c r="B911" s="1"/>
      <c r="C911" s="270" t="s">
        <v>938</v>
      </c>
      <c r="D911" s="161">
        <v>186.6</v>
      </c>
      <c r="E911" s="162">
        <f t="shared" si="13"/>
        <v>272.80701754385962</v>
      </c>
      <c r="F911" s="161">
        <v>12</v>
      </c>
      <c r="G911" s="272" t="s">
        <v>990</v>
      </c>
      <c r="H911" s="1"/>
    </row>
    <row r="912" spans="2:8" ht="17.25" x14ac:dyDescent="0.25">
      <c r="B912" s="1"/>
      <c r="C912" s="270" t="s">
        <v>939</v>
      </c>
      <c r="D912" s="161">
        <v>150</v>
      </c>
      <c r="E912" s="162">
        <f t="shared" si="13"/>
        <v>219.29824561403507</v>
      </c>
      <c r="F912" s="161">
        <v>14.5</v>
      </c>
      <c r="G912" s="272" t="s">
        <v>991</v>
      </c>
      <c r="H912" s="1"/>
    </row>
    <row r="913" spans="2:8" ht="17.25" x14ac:dyDescent="0.25">
      <c r="B913" s="1"/>
      <c r="C913" s="270" t="s">
        <v>940</v>
      </c>
      <c r="D913" s="161"/>
      <c r="E913" s="162"/>
      <c r="F913" s="161"/>
      <c r="G913" s="272" t="s">
        <v>990</v>
      </c>
      <c r="H913" s="1"/>
    </row>
    <row r="914" spans="2:8" ht="17.25" x14ac:dyDescent="0.25">
      <c r="B914" s="1"/>
      <c r="C914" s="270" t="s">
        <v>941</v>
      </c>
      <c r="D914" s="161"/>
      <c r="E914" s="162"/>
      <c r="F914" s="161"/>
      <c r="G914" s="272" t="s">
        <v>990</v>
      </c>
      <c r="H914" s="1"/>
    </row>
    <row r="915" spans="2:8" ht="17.25" x14ac:dyDescent="0.25">
      <c r="B915" s="1"/>
      <c r="C915" s="270" t="s">
        <v>942</v>
      </c>
      <c r="D915" s="161">
        <v>116</v>
      </c>
      <c r="E915" s="162">
        <f t="shared" si="13"/>
        <v>169.59064327485379</v>
      </c>
      <c r="F915" s="161">
        <v>14.5</v>
      </c>
      <c r="G915" s="272" t="s">
        <v>990</v>
      </c>
      <c r="H915" s="1"/>
    </row>
    <row r="916" spans="2:8" ht="17.25" x14ac:dyDescent="0.25">
      <c r="B916" s="1"/>
      <c r="C916" s="270" t="s">
        <v>943</v>
      </c>
      <c r="D916" s="161">
        <v>116</v>
      </c>
      <c r="E916" s="162">
        <f t="shared" ref="E916:E948" si="14">D916/0.684</f>
        <v>169.59064327485379</v>
      </c>
      <c r="F916" s="161">
        <v>14.5</v>
      </c>
      <c r="G916" s="272" t="s">
        <v>990</v>
      </c>
      <c r="H916" s="1"/>
    </row>
    <row r="917" spans="2:8" ht="17.25" x14ac:dyDescent="0.25">
      <c r="B917" s="1"/>
      <c r="C917" s="270" t="s">
        <v>944</v>
      </c>
      <c r="D917" s="161"/>
      <c r="E917" s="162"/>
      <c r="F917" s="161"/>
      <c r="G917" s="272" t="s">
        <v>990</v>
      </c>
      <c r="H917" s="1"/>
    </row>
    <row r="918" spans="2:8" ht="17.25" x14ac:dyDescent="0.25">
      <c r="B918" s="1"/>
      <c r="C918" s="270" t="s">
        <v>945</v>
      </c>
      <c r="D918" s="161"/>
      <c r="E918" s="162"/>
      <c r="F918" s="161"/>
      <c r="G918" s="272" t="s">
        <v>990</v>
      </c>
      <c r="H918" s="1"/>
    </row>
    <row r="919" spans="2:8" ht="17.25" x14ac:dyDescent="0.25">
      <c r="B919" s="1"/>
      <c r="C919" s="270" t="s">
        <v>946</v>
      </c>
      <c r="D919" s="161">
        <v>187</v>
      </c>
      <c r="E919" s="162">
        <f t="shared" si="14"/>
        <v>273.39181286549706</v>
      </c>
      <c r="F919" s="161">
        <v>12</v>
      </c>
      <c r="G919" s="272" t="s">
        <v>991</v>
      </c>
      <c r="H919" s="1"/>
    </row>
    <row r="920" spans="2:8" ht="17.25" x14ac:dyDescent="0.25">
      <c r="B920" s="1"/>
      <c r="C920" s="270" t="s">
        <v>947</v>
      </c>
      <c r="D920" s="161"/>
      <c r="E920" s="162"/>
      <c r="F920" s="161"/>
      <c r="G920" s="272" t="s">
        <v>990</v>
      </c>
      <c r="H920" s="1"/>
    </row>
    <row r="921" spans="2:8" ht="17.25" x14ac:dyDescent="0.25">
      <c r="B921" s="1"/>
      <c r="C921" s="270" t="s">
        <v>948</v>
      </c>
      <c r="D921" s="161">
        <v>137</v>
      </c>
      <c r="E921" s="162">
        <f t="shared" si="14"/>
        <v>200.29239766081869</v>
      </c>
      <c r="F921" s="161">
        <v>14.5</v>
      </c>
      <c r="G921" s="272" t="s">
        <v>990</v>
      </c>
      <c r="H921" s="1"/>
    </row>
    <row r="922" spans="2:8" ht="17.25" x14ac:dyDescent="0.25">
      <c r="B922" s="1"/>
      <c r="C922" s="270" t="s">
        <v>949</v>
      </c>
      <c r="D922" s="161">
        <v>237</v>
      </c>
      <c r="E922" s="162">
        <f t="shared" si="14"/>
        <v>346.4912280701754</v>
      </c>
      <c r="F922" s="161">
        <v>14.5</v>
      </c>
      <c r="G922" s="272" t="s">
        <v>990</v>
      </c>
      <c r="H922" s="1"/>
    </row>
    <row r="923" spans="2:8" ht="17.25" x14ac:dyDescent="0.25">
      <c r="B923" s="1"/>
      <c r="C923" s="270" t="s">
        <v>950</v>
      </c>
      <c r="D923" s="161"/>
      <c r="E923" s="162"/>
      <c r="F923" s="161"/>
      <c r="G923" s="272" t="s">
        <v>990</v>
      </c>
      <c r="H923" s="1"/>
    </row>
    <row r="924" spans="2:8" ht="17.25" x14ac:dyDescent="0.25">
      <c r="B924" s="1"/>
      <c r="C924" s="270" t="s">
        <v>951</v>
      </c>
      <c r="D924" s="161"/>
      <c r="E924" s="162"/>
      <c r="F924" s="161"/>
      <c r="G924" s="272" t="s">
        <v>990</v>
      </c>
      <c r="H924" s="1"/>
    </row>
    <row r="925" spans="2:8" ht="17.25" x14ac:dyDescent="0.25">
      <c r="B925" s="1"/>
      <c r="C925" s="270" t="s">
        <v>952</v>
      </c>
      <c r="D925" s="161"/>
      <c r="E925" s="162"/>
      <c r="F925" s="161"/>
      <c r="G925" s="272" t="s">
        <v>990</v>
      </c>
      <c r="H925" s="1"/>
    </row>
    <row r="926" spans="2:8" ht="17.25" x14ac:dyDescent="0.25">
      <c r="B926" s="1"/>
      <c r="C926" s="270" t="s">
        <v>953</v>
      </c>
      <c r="D926" s="161">
        <v>187</v>
      </c>
      <c r="E926" s="162">
        <f t="shared" si="14"/>
        <v>273.39181286549706</v>
      </c>
      <c r="F926" s="161">
        <v>12</v>
      </c>
      <c r="G926" s="272" t="s">
        <v>991</v>
      </c>
      <c r="H926" s="1"/>
    </row>
    <row r="927" spans="2:8" ht="17.25" x14ac:dyDescent="0.25">
      <c r="B927" s="1"/>
      <c r="C927" s="270" t="s">
        <v>954</v>
      </c>
      <c r="D927" s="161">
        <v>310.10000000000002</v>
      </c>
      <c r="E927" s="162">
        <f t="shared" si="14"/>
        <v>453.36257309941521</v>
      </c>
      <c r="F927" s="161">
        <v>12</v>
      </c>
      <c r="G927" s="272" t="s">
        <v>991</v>
      </c>
      <c r="H927" s="1"/>
    </row>
    <row r="928" spans="2:8" ht="17.25" x14ac:dyDescent="0.25">
      <c r="B928" s="1"/>
      <c r="C928" s="270" t="s">
        <v>955</v>
      </c>
      <c r="D928" s="161">
        <v>137</v>
      </c>
      <c r="E928" s="162">
        <f t="shared" si="14"/>
        <v>200.29239766081869</v>
      </c>
      <c r="F928" s="161">
        <v>14.5</v>
      </c>
      <c r="G928" s="272" t="s">
        <v>991</v>
      </c>
      <c r="H928" s="1"/>
    </row>
    <row r="929" spans="2:8" ht="17.25" x14ac:dyDescent="0.25">
      <c r="B929" s="1"/>
      <c r="C929" s="270" t="s">
        <v>956</v>
      </c>
      <c r="D929" s="161">
        <v>137</v>
      </c>
      <c r="E929" s="162">
        <f t="shared" si="14"/>
        <v>200.29239766081869</v>
      </c>
      <c r="F929" s="161">
        <v>14.5</v>
      </c>
      <c r="G929" s="272" t="s">
        <v>991</v>
      </c>
      <c r="H929" s="1"/>
    </row>
    <row r="930" spans="2:8" ht="17.25" x14ac:dyDescent="0.25">
      <c r="B930" s="1"/>
      <c r="C930" s="270" t="s">
        <v>957</v>
      </c>
      <c r="D930" s="161">
        <v>137</v>
      </c>
      <c r="E930" s="162">
        <f t="shared" si="14"/>
        <v>200.29239766081869</v>
      </c>
      <c r="F930" s="161">
        <v>14.5</v>
      </c>
      <c r="G930" s="272" t="s">
        <v>991</v>
      </c>
      <c r="H930" s="1"/>
    </row>
    <row r="931" spans="2:8" ht="17.25" x14ac:dyDescent="0.25">
      <c r="B931" s="1"/>
      <c r="C931" s="270" t="s">
        <v>958</v>
      </c>
      <c r="D931" s="161"/>
      <c r="E931" s="162"/>
      <c r="F931" s="161"/>
      <c r="G931" s="272" t="s">
        <v>991</v>
      </c>
      <c r="H931" s="1"/>
    </row>
    <row r="932" spans="2:8" ht="17.25" x14ac:dyDescent="0.25">
      <c r="B932" s="1"/>
      <c r="C932" s="270" t="s">
        <v>959</v>
      </c>
      <c r="D932" s="161">
        <v>187</v>
      </c>
      <c r="E932" s="162">
        <f t="shared" si="14"/>
        <v>273.39181286549706</v>
      </c>
      <c r="F932" s="161">
        <v>14.5</v>
      </c>
      <c r="G932" s="272" t="s">
        <v>991</v>
      </c>
      <c r="H932" s="1"/>
    </row>
    <row r="933" spans="2:8" ht="17.25" x14ac:dyDescent="0.25">
      <c r="B933" s="1"/>
      <c r="C933" s="270" t="s">
        <v>960</v>
      </c>
      <c r="D933" s="161">
        <v>150.19999999999999</v>
      </c>
      <c r="E933" s="162">
        <f t="shared" si="14"/>
        <v>219.59064327485376</v>
      </c>
      <c r="F933" s="161">
        <v>14.5</v>
      </c>
      <c r="G933" s="272" t="s">
        <v>991</v>
      </c>
      <c r="H933" s="1"/>
    </row>
    <row r="934" spans="2:8" ht="17.25" x14ac:dyDescent="0.25">
      <c r="B934" s="1"/>
      <c r="C934" s="270" t="s">
        <v>961</v>
      </c>
      <c r="D934" s="161">
        <v>310</v>
      </c>
      <c r="E934" s="162">
        <f t="shared" si="14"/>
        <v>453.21637426900583</v>
      </c>
      <c r="F934" s="161">
        <v>12</v>
      </c>
      <c r="G934" s="272" t="s">
        <v>993</v>
      </c>
      <c r="H934" s="1"/>
    </row>
    <row r="935" spans="2:8" ht="17.25" x14ac:dyDescent="0.25">
      <c r="B935" s="1"/>
      <c r="C935" s="270" t="s">
        <v>962</v>
      </c>
      <c r="D935" s="161">
        <v>120.4</v>
      </c>
      <c r="E935" s="162">
        <f t="shared" si="14"/>
        <v>176.0233918128655</v>
      </c>
      <c r="F935" s="161">
        <v>12</v>
      </c>
      <c r="G935" s="272" t="s">
        <v>993</v>
      </c>
      <c r="H935" s="1"/>
    </row>
    <row r="936" spans="2:8" ht="17.25" x14ac:dyDescent="0.25">
      <c r="B936" s="1"/>
      <c r="C936" s="270" t="s">
        <v>963</v>
      </c>
      <c r="D936" s="161"/>
      <c r="E936" s="162"/>
      <c r="F936" s="161"/>
      <c r="G936" s="272" t="s">
        <v>993</v>
      </c>
      <c r="H936" s="1"/>
    </row>
    <row r="937" spans="2:8" ht="17.25" x14ac:dyDescent="0.25">
      <c r="B937" s="1"/>
      <c r="C937" s="270" t="s">
        <v>964</v>
      </c>
      <c r="D937" s="161">
        <v>193</v>
      </c>
      <c r="E937" s="162">
        <f t="shared" si="14"/>
        <v>282.16374269005848</v>
      </c>
      <c r="F937" s="161">
        <v>12</v>
      </c>
      <c r="G937" s="272" t="s">
        <v>997</v>
      </c>
      <c r="H937" s="1"/>
    </row>
    <row r="938" spans="2:8" ht="17.25" x14ac:dyDescent="0.25">
      <c r="B938" s="1"/>
      <c r="C938" s="270" t="s">
        <v>965</v>
      </c>
      <c r="D938" s="161">
        <v>193</v>
      </c>
      <c r="E938" s="162">
        <f t="shared" si="14"/>
        <v>282.16374269005848</v>
      </c>
      <c r="F938" s="161">
        <v>12</v>
      </c>
      <c r="G938" s="272" t="s">
        <v>997</v>
      </c>
      <c r="H938" s="1"/>
    </row>
    <row r="939" spans="2:8" ht="17.25" x14ac:dyDescent="0.25">
      <c r="B939" s="1"/>
      <c r="C939" s="270" t="s">
        <v>966</v>
      </c>
      <c r="D939" s="161">
        <v>193</v>
      </c>
      <c r="E939" s="162">
        <f t="shared" si="14"/>
        <v>282.16374269005848</v>
      </c>
      <c r="F939" s="161">
        <v>12</v>
      </c>
      <c r="G939" s="272" t="s">
        <v>993</v>
      </c>
      <c r="H939" s="1"/>
    </row>
    <row r="940" spans="2:8" ht="17.25" x14ac:dyDescent="0.25">
      <c r="B940" s="1"/>
      <c r="C940" s="270" t="s">
        <v>967</v>
      </c>
      <c r="D940" s="161"/>
      <c r="E940" s="162"/>
      <c r="F940" s="161"/>
      <c r="G940" s="272" t="s">
        <v>993</v>
      </c>
      <c r="H940" s="1"/>
    </row>
    <row r="941" spans="2:8" ht="17.25" x14ac:dyDescent="0.25">
      <c r="B941" s="1"/>
      <c r="C941" s="270" t="s">
        <v>968</v>
      </c>
      <c r="D941" s="161">
        <v>217</v>
      </c>
      <c r="E941" s="162">
        <f t="shared" si="14"/>
        <v>317.25146198830407</v>
      </c>
      <c r="F941" s="161">
        <v>12</v>
      </c>
      <c r="G941" s="272" t="s">
        <v>993</v>
      </c>
      <c r="H941" s="1"/>
    </row>
    <row r="942" spans="2:8" ht="17.25" x14ac:dyDescent="0.25">
      <c r="B942" s="1"/>
      <c r="C942" s="270" t="s">
        <v>969</v>
      </c>
      <c r="D942" s="161"/>
      <c r="E942" s="162"/>
      <c r="F942" s="161"/>
      <c r="G942" s="272" t="s">
        <v>993</v>
      </c>
      <c r="H942" s="1"/>
    </row>
    <row r="943" spans="2:8" ht="17.25" x14ac:dyDescent="0.25">
      <c r="B943" s="1"/>
      <c r="C943" s="270" t="s">
        <v>970</v>
      </c>
      <c r="D943" s="161">
        <v>217</v>
      </c>
      <c r="E943" s="162">
        <f t="shared" si="14"/>
        <v>317.25146198830407</v>
      </c>
      <c r="F943" s="161">
        <v>12</v>
      </c>
      <c r="G943" s="272" t="s">
        <v>989</v>
      </c>
      <c r="H943" s="1"/>
    </row>
    <row r="944" spans="2:8" ht="17.25" x14ac:dyDescent="0.25">
      <c r="B944" s="1"/>
      <c r="C944" s="270" t="s">
        <v>971</v>
      </c>
      <c r="D944" s="161">
        <v>160</v>
      </c>
      <c r="E944" s="162">
        <f t="shared" si="14"/>
        <v>233.91812865497073</v>
      </c>
      <c r="F944" s="161">
        <v>15.95</v>
      </c>
      <c r="G944" s="272" t="s">
        <v>989</v>
      </c>
      <c r="H944" s="1"/>
    </row>
    <row r="945" spans="2:8" ht="17.25" x14ac:dyDescent="0.25">
      <c r="B945" s="1"/>
      <c r="C945" s="270" t="s">
        <v>972</v>
      </c>
      <c r="D945" s="161">
        <v>172</v>
      </c>
      <c r="E945" s="162">
        <f t="shared" si="14"/>
        <v>251.46198830409355</v>
      </c>
      <c r="F945" s="161">
        <v>15.95</v>
      </c>
      <c r="G945" s="272" t="s">
        <v>989</v>
      </c>
      <c r="H945" s="1"/>
    </row>
    <row r="946" spans="2:8" ht="17.25" x14ac:dyDescent="0.25">
      <c r="B946" s="1"/>
      <c r="C946" s="270" t="s">
        <v>973</v>
      </c>
      <c r="D946" s="161">
        <v>75</v>
      </c>
      <c r="E946" s="162">
        <f t="shared" si="14"/>
        <v>109.64912280701753</v>
      </c>
      <c r="F946" s="161">
        <v>14.5</v>
      </c>
      <c r="G946" s="272" t="s">
        <v>989</v>
      </c>
      <c r="H946" s="1"/>
    </row>
    <row r="947" spans="2:8" ht="17.25" x14ac:dyDescent="0.25">
      <c r="B947" s="1"/>
      <c r="C947" s="270" t="s">
        <v>974</v>
      </c>
      <c r="D947" s="161">
        <v>75</v>
      </c>
      <c r="E947" s="162">
        <f t="shared" si="14"/>
        <v>109.64912280701753</v>
      </c>
      <c r="F947" s="161">
        <v>14.5</v>
      </c>
      <c r="G947" s="272" t="s">
        <v>989</v>
      </c>
      <c r="H947" s="1"/>
    </row>
    <row r="948" spans="2:8" ht="17.25" x14ac:dyDescent="0.25">
      <c r="B948" s="1"/>
      <c r="C948" s="270" t="s">
        <v>975</v>
      </c>
      <c r="D948" s="161">
        <v>219.4</v>
      </c>
      <c r="E948" s="162">
        <f t="shared" si="14"/>
        <v>320.76023391812862</v>
      </c>
      <c r="F948" s="161">
        <v>14.5</v>
      </c>
      <c r="G948" s="272" t="s">
        <v>989</v>
      </c>
      <c r="H948" s="1"/>
    </row>
    <row r="949" spans="2:8" ht="17.25" x14ac:dyDescent="0.25">
      <c r="B949" s="1"/>
      <c r="C949" s="270" t="s">
        <v>976</v>
      </c>
      <c r="D949" s="161"/>
      <c r="E949" s="162"/>
      <c r="F949" s="161"/>
      <c r="G949" s="272" t="s">
        <v>989</v>
      </c>
      <c r="H949" s="1"/>
    </row>
    <row r="950" spans="2:8" x14ac:dyDescent="0.25">
      <c r="B950" s="1"/>
      <c r="C950" s="1"/>
      <c r="D950" s="1"/>
      <c r="E950" s="1"/>
      <c r="F950" s="1"/>
      <c r="G950" s="1"/>
      <c r="H950" s="1"/>
    </row>
  </sheetData>
  <sheetProtection password="FD37" sheet="1" objects="1" scenarios="1" sort="0" autoFilter="0"/>
  <mergeCells count="2">
    <mergeCell ref="C3:G10"/>
    <mergeCell ref="C11:G12"/>
  </mergeCells>
  <dataValidations count="1">
    <dataValidation showInputMessage="1" showErrorMessage="1" sqref="A1:F1048576 H1:XFD1048576 G1:G2 G13:G1048576" xr:uid="{00000000-0002-0000-0400-000000000000}"/>
  </dataValidations>
  <hyperlinks>
    <hyperlink ref="C11" r:id="rId1" xr:uid="{00000000-0004-0000-0400-000000000000}"/>
  </hyperlinks>
  <pageMargins left="0.7" right="0.7" top="0.75" bottom="0.75" header="0.3" footer="0.3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transitionEntry="1" codeName="Sheet11"/>
  <dimension ref="B2:I31"/>
  <sheetViews>
    <sheetView showRowColHeaders="0" workbookViewId="0">
      <selection activeCell="N6" sqref="N6"/>
    </sheetView>
  </sheetViews>
  <sheetFormatPr defaultRowHeight="15" x14ac:dyDescent="0.25"/>
  <cols>
    <col min="1" max="16384" width="9.140625" style="2"/>
  </cols>
  <sheetData>
    <row r="2" spans="2:9" x14ac:dyDescent="0.25">
      <c r="B2" s="22"/>
      <c r="C2" s="22"/>
      <c r="D2" s="22"/>
      <c r="E2" s="22"/>
      <c r="F2" s="22"/>
      <c r="G2" s="22"/>
      <c r="H2" s="22"/>
      <c r="I2" s="22"/>
    </row>
    <row r="3" spans="2:9" x14ac:dyDescent="0.25">
      <c r="B3" s="48"/>
      <c r="C3" s="340" t="s">
        <v>1280</v>
      </c>
      <c r="D3" s="321"/>
      <c r="E3" s="321"/>
      <c r="F3" s="321"/>
      <c r="G3" s="321"/>
      <c r="H3" s="322"/>
      <c r="I3" s="22"/>
    </row>
    <row r="4" spans="2:9" x14ac:dyDescent="0.25">
      <c r="B4" s="48"/>
      <c r="C4" s="323"/>
      <c r="D4" s="324"/>
      <c r="E4" s="324"/>
      <c r="F4" s="324"/>
      <c r="G4" s="324"/>
      <c r="H4" s="325"/>
      <c r="I4" s="22"/>
    </row>
    <row r="5" spans="2:9" x14ac:dyDescent="0.25">
      <c r="B5" s="48"/>
      <c r="C5" s="323"/>
      <c r="D5" s="324"/>
      <c r="E5" s="324"/>
      <c r="F5" s="324"/>
      <c r="G5" s="324"/>
      <c r="H5" s="325"/>
      <c r="I5" s="22"/>
    </row>
    <row r="6" spans="2:9" x14ac:dyDescent="0.25">
      <c r="B6" s="48"/>
      <c r="C6" s="323"/>
      <c r="D6" s="324"/>
      <c r="E6" s="324"/>
      <c r="F6" s="324"/>
      <c r="G6" s="324"/>
      <c r="H6" s="325"/>
      <c r="I6" s="22"/>
    </row>
    <row r="7" spans="2:9" x14ac:dyDescent="0.25">
      <c r="B7" s="48"/>
      <c r="C7" s="323"/>
      <c r="D7" s="324"/>
      <c r="E7" s="324"/>
      <c r="F7" s="324"/>
      <c r="G7" s="324"/>
      <c r="H7" s="325"/>
      <c r="I7" s="22"/>
    </row>
    <row r="8" spans="2:9" x14ac:dyDescent="0.25">
      <c r="B8" s="58"/>
      <c r="C8" s="323"/>
      <c r="D8" s="324"/>
      <c r="E8" s="324"/>
      <c r="F8" s="324"/>
      <c r="G8" s="324"/>
      <c r="H8" s="325"/>
      <c r="I8" s="1"/>
    </row>
    <row r="9" spans="2:9" x14ac:dyDescent="0.25">
      <c r="B9" s="58"/>
      <c r="C9" s="323"/>
      <c r="D9" s="324"/>
      <c r="E9" s="324"/>
      <c r="F9" s="324"/>
      <c r="G9" s="324"/>
      <c r="H9" s="325"/>
      <c r="I9" s="1"/>
    </row>
    <row r="10" spans="2:9" x14ac:dyDescent="0.25">
      <c r="B10" s="1"/>
      <c r="C10" s="323"/>
      <c r="D10" s="324"/>
      <c r="E10" s="324"/>
      <c r="F10" s="324"/>
      <c r="G10" s="324"/>
      <c r="H10" s="325"/>
      <c r="I10" s="1"/>
    </row>
    <row r="11" spans="2:9" x14ac:dyDescent="0.25">
      <c r="B11" s="48"/>
      <c r="C11" s="326" t="s">
        <v>0</v>
      </c>
      <c r="D11" s="324"/>
      <c r="E11" s="324"/>
      <c r="F11" s="324"/>
      <c r="G11" s="324"/>
      <c r="H11" s="325"/>
      <c r="I11" s="1"/>
    </row>
    <row r="12" spans="2:9" x14ac:dyDescent="0.25">
      <c r="B12" s="48"/>
      <c r="C12" s="323"/>
      <c r="D12" s="324"/>
      <c r="E12" s="324"/>
      <c r="F12" s="324"/>
      <c r="G12" s="324"/>
      <c r="H12" s="325"/>
      <c r="I12" s="22"/>
    </row>
    <row r="13" spans="2:9" x14ac:dyDescent="0.25">
      <c r="B13" s="48"/>
      <c r="C13" s="346" t="s">
        <v>1278</v>
      </c>
      <c r="D13" s="324"/>
      <c r="E13" s="324"/>
      <c r="F13" s="324"/>
      <c r="G13" s="324"/>
      <c r="H13" s="325"/>
      <c r="I13" s="22"/>
    </row>
    <row r="14" spans="2:9" x14ac:dyDescent="0.25">
      <c r="B14" s="48"/>
      <c r="C14" s="327"/>
      <c r="D14" s="328"/>
      <c r="E14" s="328"/>
      <c r="F14" s="328"/>
      <c r="G14" s="328"/>
      <c r="H14" s="329"/>
      <c r="I14" s="22"/>
    </row>
    <row r="15" spans="2:9" x14ac:dyDescent="0.25">
      <c r="B15" s="22"/>
      <c r="C15" s="22"/>
      <c r="D15" s="22"/>
      <c r="E15" s="22"/>
      <c r="F15" s="22"/>
      <c r="G15" s="22"/>
      <c r="H15" s="22"/>
      <c r="I15" s="22"/>
    </row>
    <row r="16" spans="2:9" x14ac:dyDescent="0.25">
      <c r="B16" s="22"/>
      <c r="C16" s="151"/>
      <c r="D16" s="32" t="s">
        <v>2</v>
      </c>
      <c r="E16" s="330" t="s">
        <v>1</v>
      </c>
      <c r="F16" s="330"/>
      <c r="G16" s="152"/>
      <c r="H16" s="152"/>
      <c r="I16" s="152"/>
    </row>
    <row r="17" spans="2:9" x14ac:dyDescent="0.25">
      <c r="B17" s="22"/>
      <c r="C17" s="22"/>
      <c r="D17" s="22"/>
      <c r="E17" s="22"/>
      <c r="F17" s="22"/>
      <c r="G17" s="22"/>
      <c r="H17" s="22"/>
      <c r="I17" s="1"/>
    </row>
    <row r="19" spans="2:9" x14ac:dyDescent="0.25">
      <c r="B19" s="153"/>
      <c r="C19" s="153"/>
      <c r="D19" s="153"/>
      <c r="E19" s="153"/>
      <c r="F19" s="153"/>
      <c r="G19" s="153"/>
      <c r="H19" s="153"/>
      <c r="I19" s="153"/>
    </row>
    <row r="20" spans="2:9" x14ac:dyDescent="0.25">
      <c r="B20" s="332" t="s">
        <v>41</v>
      </c>
      <c r="C20" s="338"/>
      <c r="D20" s="339"/>
      <c r="E20" s="165">
        <v>1781</v>
      </c>
      <c r="F20" s="154" t="s">
        <v>1001</v>
      </c>
      <c r="G20" s="155" t="s">
        <v>37</v>
      </c>
      <c r="H20" s="165">
        <v>4</v>
      </c>
      <c r="I20" s="153"/>
    </row>
    <row r="21" spans="2:9" x14ac:dyDescent="0.25">
      <c r="B21" s="153"/>
      <c r="C21" s="153"/>
      <c r="D21" s="153"/>
      <c r="E21" s="153"/>
      <c r="F21" s="153"/>
      <c r="G21" s="153"/>
      <c r="H21" s="153"/>
      <c r="I21" s="153"/>
    </row>
    <row r="22" spans="2:9" x14ac:dyDescent="0.25">
      <c r="B22" s="153"/>
      <c r="C22" s="155" t="s">
        <v>38</v>
      </c>
      <c r="D22" s="165" t="s">
        <v>42</v>
      </c>
      <c r="E22" s="336" t="s">
        <v>40</v>
      </c>
      <c r="F22" s="337"/>
      <c r="G22" s="337"/>
      <c r="H22" s="165">
        <v>373</v>
      </c>
      <c r="I22" s="158" t="s">
        <v>1002</v>
      </c>
    </row>
    <row r="23" spans="2:9" x14ac:dyDescent="0.25">
      <c r="B23" s="153"/>
      <c r="C23" s="153"/>
      <c r="D23" s="153"/>
      <c r="E23" s="257"/>
      <c r="F23" s="153"/>
      <c r="G23" s="153"/>
      <c r="H23" s="153"/>
      <c r="I23" s="153"/>
    </row>
    <row r="24" spans="2:9" x14ac:dyDescent="0.25">
      <c r="B24" s="332" t="s">
        <v>999</v>
      </c>
      <c r="C24" s="341"/>
      <c r="D24" s="341"/>
      <c r="E24" s="223" t="s">
        <v>1143</v>
      </c>
      <c r="F24" s="154" t="s">
        <v>1000</v>
      </c>
      <c r="G24" s="1"/>
      <c r="H24" s="1"/>
      <c r="I24" s="153"/>
    </row>
    <row r="25" spans="2:9" x14ac:dyDescent="0.25">
      <c r="B25" s="1"/>
      <c r="C25" s="1"/>
      <c r="D25" s="1"/>
      <c r="E25" s="153"/>
      <c r="F25" s="221"/>
      <c r="G25" s="221"/>
      <c r="H25" s="221"/>
      <c r="I25" s="153"/>
    </row>
    <row r="26" spans="2:9" x14ac:dyDescent="0.25">
      <c r="B26" s="342" t="s">
        <v>1140</v>
      </c>
      <c r="C26" s="343"/>
      <c r="D26" s="220">
        <v>298.58999999999997</v>
      </c>
      <c r="E26" s="342" t="s">
        <v>1141</v>
      </c>
      <c r="F26" s="343"/>
      <c r="G26" s="344">
        <v>0.10478</v>
      </c>
      <c r="H26" s="345"/>
      <c r="I26" s="153"/>
    </row>
    <row r="27" spans="2:9" x14ac:dyDescent="0.25">
      <c r="B27" s="153"/>
      <c r="C27" s="1"/>
      <c r="D27" s="1"/>
      <c r="E27" s="1"/>
      <c r="F27" s="1"/>
      <c r="G27" s="153"/>
      <c r="H27" s="153"/>
      <c r="I27" s="153"/>
    </row>
    <row r="28" spans="2:9" x14ac:dyDescent="0.25">
      <c r="B28" s="332" t="s">
        <v>39</v>
      </c>
      <c r="C28" s="333"/>
      <c r="D28" s="334">
        <f>IF(D22="Gas",(50.2624*E20/H20*0.001)/(H22*SQRT(E24/3)*0.684),(67.7104*E20/H20*0.001)/(H22*SQRT(E24/3)*0.684))</f>
        <v>7.5964878640729719E-2</v>
      </c>
      <c r="E28" s="335"/>
      <c r="F28" s="342" t="s">
        <v>1142</v>
      </c>
      <c r="G28" s="343"/>
      <c r="H28" s="222">
        <f>D26*(G26/D28)</f>
        <v>411.85164459968473</v>
      </c>
      <c r="I28" s="153"/>
    </row>
    <row r="29" spans="2:9" x14ac:dyDescent="0.25">
      <c r="B29" s="153"/>
      <c r="C29" s="153"/>
      <c r="D29" s="153"/>
      <c r="E29" s="153"/>
      <c r="F29" s="153"/>
      <c r="G29" s="153"/>
      <c r="H29" s="153"/>
      <c r="I29" s="153"/>
    </row>
    <row r="30" spans="2:9" x14ac:dyDescent="0.25">
      <c r="B30" s="156"/>
      <c r="C30" s="156"/>
      <c r="D30" s="156"/>
      <c r="E30" s="156"/>
      <c r="F30" s="157"/>
      <c r="G30" s="157"/>
      <c r="H30" s="156"/>
      <c r="I30" s="156"/>
    </row>
    <row r="31" spans="2:9" x14ac:dyDescent="0.25">
      <c r="B31" s="156"/>
      <c r="C31" s="156"/>
      <c r="D31" s="156"/>
      <c r="E31" s="156"/>
      <c r="F31" s="156"/>
      <c r="G31" s="156"/>
      <c r="H31" s="156"/>
      <c r="I31" s="156"/>
    </row>
  </sheetData>
  <sheetProtection formatCells="0" formatColumns="0" formatRows="0" insertColumns="0" insertRows="0" insertHyperlinks="0" deleteColumns="0" deleteRows="0" sort="0" autoFilter="0" pivotTables="0"/>
  <mergeCells count="13">
    <mergeCell ref="B28:C28"/>
    <mergeCell ref="D28:E28"/>
    <mergeCell ref="E22:G22"/>
    <mergeCell ref="B20:D20"/>
    <mergeCell ref="C3:H10"/>
    <mergeCell ref="C11:H12"/>
    <mergeCell ref="E16:F16"/>
    <mergeCell ref="B24:D24"/>
    <mergeCell ref="B26:C26"/>
    <mergeCell ref="E26:F26"/>
    <mergeCell ref="G26:H26"/>
    <mergeCell ref="F28:G28"/>
    <mergeCell ref="C13:H14"/>
  </mergeCells>
  <dataValidations count="7">
    <dataValidation type="list" showInputMessage="1" showErrorMessage="1" sqref="D22" xr:uid="{00000000-0002-0000-0500-000000000000}">
      <formula1>"Gas,E-85"</formula1>
    </dataValidation>
    <dataValidation type="decimal" showInputMessage="1" showErrorMessage="1" sqref="E20" xr:uid="{00000000-0002-0000-0500-000001000000}">
      <formula1>500</formula1>
      <formula2>5000</formula2>
    </dataValidation>
    <dataValidation type="list" showInputMessage="1" showErrorMessage="1" sqref="H20" xr:uid="{00000000-0002-0000-0500-000002000000}">
      <formula1>"4,6"</formula1>
    </dataValidation>
    <dataValidation type="decimal" showInputMessage="1" showErrorMessage="1" sqref="H22" xr:uid="{00000000-0002-0000-0500-000003000000}">
      <formula1>100</formula1>
      <formula2>2000</formula2>
    </dataValidation>
    <dataValidation type="list" showInputMessage="1" showErrorMessage="1" sqref="E24" xr:uid="{00000000-0002-0000-0500-000004000000}">
      <formula1>"'1.0,'1.5,'2.0,'2.5,'3.0,'3.5,'4.0,'4.5,'5.0,'5.5,'6.0"</formula1>
    </dataValidation>
    <dataValidation type="decimal" showInputMessage="1" showErrorMessage="1" sqref="D26" xr:uid="{00000000-0002-0000-0500-000005000000}">
      <formula1>100</formula1>
      <formula2>700</formula2>
    </dataValidation>
    <dataValidation type="decimal" showInputMessage="1" showErrorMessage="1" sqref="G26:H26" xr:uid="{00000000-0002-0000-0500-000006000000}">
      <formula1>0.01</formula1>
      <formula2>0.2</formula2>
    </dataValidation>
  </dataValidations>
  <hyperlinks>
    <hyperlink ref="C11" r:id="rId1" xr:uid="{00000000-0004-0000-0500-000000000000}"/>
    <hyperlink ref="C13" r:id="rId2" xr:uid="{00000000-0004-0000-0500-000001000000}"/>
  </hyperlinks>
  <pageMargins left="0.7" right="0.7" top="0.75" bottom="0.75" header="0.3" footer="0.3"/>
  <pageSetup paperSize="9" orientation="portrait" horizontalDpi="4294967293" verticalDpi="4294967293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B2:T59"/>
  <sheetViews>
    <sheetView workbookViewId="0">
      <selection activeCell="D20" sqref="D20"/>
    </sheetView>
  </sheetViews>
  <sheetFormatPr defaultRowHeight="15" x14ac:dyDescent="0.25"/>
  <cols>
    <col min="1" max="16384" width="9.140625" style="2"/>
  </cols>
  <sheetData>
    <row r="2" spans="6:19" x14ac:dyDescent="0.25">
      <c r="F2" s="22"/>
      <c r="G2" s="22"/>
      <c r="H2" s="22"/>
      <c r="I2" s="22"/>
      <c r="J2" s="22"/>
      <c r="K2" s="22"/>
      <c r="L2" s="22"/>
      <c r="M2" s="22"/>
      <c r="O2" s="1"/>
      <c r="P2" s="355" t="s">
        <v>1175</v>
      </c>
      <c r="Q2" s="355"/>
      <c r="R2" s="355"/>
      <c r="S2" s="1"/>
    </row>
    <row r="3" spans="6:19" x14ac:dyDescent="0.25">
      <c r="F3" s="48"/>
      <c r="G3" s="320" t="s">
        <v>1174</v>
      </c>
      <c r="H3" s="321"/>
      <c r="I3" s="321"/>
      <c r="J3" s="321"/>
      <c r="K3" s="321"/>
      <c r="L3" s="322"/>
      <c r="M3" s="22"/>
      <c r="O3" s="1"/>
      <c r="P3" s="355"/>
      <c r="Q3" s="355"/>
      <c r="R3" s="355"/>
      <c r="S3" s="1"/>
    </row>
    <row r="4" spans="6:19" x14ac:dyDescent="0.25">
      <c r="F4" s="48"/>
      <c r="G4" s="323"/>
      <c r="H4" s="324"/>
      <c r="I4" s="324"/>
      <c r="J4" s="324"/>
      <c r="K4" s="324"/>
      <c r="L4" s="325"/>
      <c r="M4" s="22"/>
      <c r="O4" s="356" t="s">
        <v>1176</v>
      </c>
      <c r="P4" s="356"/>
      <c r="Q4" s="356"/>
      <c r="R4" s="356"/>
      <c r="S4" s="356"/>
    </row>
    <row r="5" spans="6:19" ht="15" customHeight="1" x14ac:dyDescent="0.25">
      <c r="F5" s="48"/>
      <c r="G5" s="323"/>
      <c r="H5" s="324"/>
      <c r="I5" s="324"/>
      <c r="J5" s="324"/>
      <c r="K5" s="324"/>
      <c r="L5" s="325"/>
      <c r="M5" s="22"/>
      <c r="O5" s="356"/>
      <c r="P5" s="356"/>
      <c r="Q5" s="356"/>
      <c r="R5" s="356"/>
      <c r="S5" s="356"/>
    </row>
    <row r="6" spans="6:19" x14ac:dyDescent="0.25">
      <c r="F6" s="48"/>
      <c r="G6" s="323"/>
      <c r="H6" s="324"/>
      <c r="I6" s="324"/>
      <c r="J6" s="324"/>
      <c r="K6" s="324"/>
      <c r="L6" s="325"/>
      <c r="M6" s="22"/>
      <c r="O6" s="356"/>
      <c r="P6" s="356"/>
      <c r="Q6" s="356"/>
      <c r="R6" s="356"/>
      <c r="S6" s="356"/>
    </row>
    <row r="7" spans="6:19" x14ac:dyDescent="0.25">
      <c r="F7" s="48"/>
      <c r="G7" s="323"/>
      <c r="H7" s="324"/>
      <c r="I7" s="324"/>
      <c r="J7" s="324"/>
      <c r="K7" s="324"/>
      <c r="L7" s="325"/>
      <c r="M7" s="22"/>
      <c r="O7" s="1"/>
      <c r="P7" s="1"/>
      <c r="Q7" s="1"/>
      <c r="R7" s="1"/>
      <c r="S7" s="1"/>
    </row>
    <row r="8" spans="6:19" x14ac:dyDescent="0.25">
      <c r="F8" s="58"/>
      <c r="G8" s="323"/>
      <c r="H8" s="324"/>
      <c r="I8" s="324"/>
      <c r="J8" s="324"/>
      <c r="K8" s="324"/>
      <c r="L8" s="325"/>
      <c r="M8" s="1"/>
      <c r="O8" s="304" t="s">
        <v>1007</v>
      </c>
      <c r="P8" s="353"/>
      <c r="Q8" s="352"/>
      <c r="R8" s="352"/>
      <c r="S8" s="1"/>
    </row>
    <row r="9" spans="6:19" x14ac:dyDescent="0.25">
      <c r="F9" s="58"/>
      <c r="G9" s="323"/>
      <c r="H9" s="324"/>
      <c r="I9" s="324"/>
      <c r="J9" s="324"/>
      <c r="K9" s="324"/>
      <c r="L9" s="325"/>
      <c r="M9" s="1"/>
      <c r="O9" s="1"/>
      <c r="P9" s="1"/>
      <c r="Q9" s="1"/>
      <c r="R9" s="1"/>
      <c r="S9" s="1"/>
    </row>
    <row r="10" spans="6:19" x14ac:dyDescent="0.25">
      <c r="F10" s="1"/>
      <c r="G10" s="323"/>
      <c r="H10" s="324"/>
      <c r="I10" s="324"/>
      <c r="J10" s="324"/>
      <c r="K10" s="324"/>
      <c r="L10" s="325"/>
      <c r="M10" s="1"/>
      <c r="O10" s="304" t="s">
        <v>1011</v>
      </c>
      <c r="P10" s="353"/>
      <c r="Q10" s="339"/>
      <c r="R10" s="187">
        <v>120</v>
      </c>
      <c r="S10" s="186" t="s">
        <v>28</v>
      </c>
    </row>
    <row r="11" spans="6:19" x14ac:dyDescent="0.25">
      <c r="F11" s="48"/>
      <c r="G11" s="326" t="s">
        <v>0</v>
      </c>
      <c r="H11" s="324"/>
      <c r="I11" s="324"/>
      <c r="J11" s="324"/>
      <c r="K11" s="324"/>
      <c r="L11" s="325"/>
      <c r="M11" s="1"/>
      <c r="O11" s="1"/>
      <c r="P11" s="1"/>
      <c r="Q11" s="1"/>
      <c r="R11" s="1"/>
      <c r="S11" s="1"/>
    </row>
    <row r="12" spans="6:19" x14ac:dyDescent="0.25">
      <c r="F12" s="48"/>
      <c r="G12" s="327"/>
      <c r="H12" s="328"/>
      <c r="I12" s="328"/>
      <c r="J12" s="328"/>
      <c r="K12" s="328"/>
      <c r="L12" s="329"/>
      <c r="M12" s="22"/>
      <c r="O12" s="304" t="s">
        <v>1012</v>
      </c>
      <c r="P12" s="353"/>
      <c r="Q12" s="354"/>
      <c r="R12" s="187">
        <v>0.2</v>
      </c>
      <c r="S12" s="186" t="s">
        <v>1010</v>
      </c>
    </row>
    <row r="13" spans="6:19" x14ac:dyDescent="0.25">
      <c r="F13" s="22"/>
      <c r="G13" s="22"/>
      <c r="H13" s="22"/>
      <c r="I13" s="22"/>
      <c r="J13" s="22"/>
      <c r="K13" s="22"/>
      <c r="L13" s="22"/>
      <c r="M13" s="22"/>
      <c r="O13" s="1"/>
      <c r="P13" s="1"/>
      <c r="Q13" s="1"/>
      <c r="R13" s="1"/>
      <c r="S13" s="1"/>
    </row>
    <row r="14" spans="6:19" x14ac:dyDescent="0.25">
      <c r="F14" s="22"/>
      <c r="G14" s="185"/>
      <c r="H14" s="32" t="s">
        <v>2</v>
      </c>
      <c r="I14" s="330" t="s">
        <v>1</v>
      </c>
      <c r="J14" s="330"/>
      <c r="K14" s="184"/>
      <c r="L14" s="184"/>
      <c r="M14" s="184"/>
    </row>
    <row r="15" spans="6:19" x14ac:dyDescent="0.25">
      <c r="F15" s="22"/>
      <c r="G15" s="22"/>
      <c r="H15" s="22"/>
      <c r="I15" s="22"/>
      <c r="J15" s="22"/>
      <c r="K15" s="22"/>
      <c r="L15" s="22"/>
      <c r="M15" s="1"/>
    </row>
    <row r="17" spans="2:20" ht="31.5" thickBot="1" x14ac:dyDescent="0.3">
      <c r="B17" s="347" t="s">
        <v>1172</v>
      </c>
      <c r="C17" s="348"/>
      <c r="D17" s="348"/>
      <c r="E17" s="348"/>
      <c r="F17" s="348"/>
      <c r="G17" s="348"/>
      <c r="H17" s="348"/>
      <c r="I17" s="348"/>
      <c r="J17" s="348"/>
      <c r="K17" s="348"/>
      <c r="L17" s="348"/>
      <c r="M17" s="348"/>
      <c r="N17" s="348"/>
      <c r="O17" s="348"/>
      <c r="P17" s="348"/>
      <c r="Q17" s="348"/>
      <c r="R17" s="348"/>
      <c r="S17" s="348"/>
      <c r="T17" s="348"/>
    </row>
    <row r="18" spans="2:20" ht="30.75" customHeight="1" thickTop="1" thickBot="1" x14ac:dyDescent="0.3">
      <c r="B18" s="1"/>
      <c r="C18" s="80" t="s">
        <v>1008</v>
      </c>
      <c r="D18" s="181">
        <v>600</v>
      </c>
      <c r="E18" s="182">
        <v>800</v>
      </c>
      <c r="F18" s="182">
        <v>1000</v>
      </c>
      <c r="G18" s="182">
        <v>1240</v>
      </c>
      <c r="H18" s="182">
        <v>1520</v>
      </c>
      <c r="I18" s="182">
        <v>1760</v>
      </c>
      <c r="J18" s="182">
        <v>2000</v>
      </c>
      <c r="K18" s="182">
        <v>2520</v>
      </c>
      <c r="L18" s="182">
        <v>3000</v>
      </c>
      <c r="M18" s="182">
        <v>3520</v>
      </c>
      <c r="N18" s="182">
        <v>4000</v>
      </c>
      <c r="O18" s="182">
        <v>4520</v>
      </c>
      <c r="P18" s="182">
        <v>5000</v>
      </c>
      <c r="Q18" s="182">
        <v>5520</v>
      </c>
      <c r="R18" s="182">
        <v>6000</v>
      </c>
      <c r="S18" s="183">
        <v>6520</v>
      </c>
      <c r="T18" s="150"/>
    </row>
    <row r="19" spans="2:20" ht="15.75" thickTop="1" x14ac:dyDescent="0.25">
      <c r="B19" s="1"/>
      <c r="C19" s="243">
        <v>1.2</v>
      </c>
      <c r="D19" s="231">
        <v>1</v>
      </c>
      <c r="E19" s="233">
        <v>1</v>
      </c>
      <c r="F19" s="233">
        <v>1</v>
      </c>
      <c r="G19" s="233">
        <v>1</v>
      </c>
      <c r="H19" s="233">
        <v>1</v>
      </c>
      <c r="I19" s="233">
        <v>1</v>
      </c>
      <c r="J19" s="233">
        <v>1</v>
      </c>
      <c r="K19" s="233">
        <v>1</v>
      </c>
      <c r="L19" s="233">
        <v>1</v>
      </c>
      <c r="M19" s="233">
        <v>1</v>
      </c>
      <c r="N19" s="233">
        <v>1</v>
      </c>
      <c r="O19" s="233">
        <v>1</v>
      </c>
      <c r="P19" s="233">
        <v>1</v>
      </c>
      <c r="Q19" s="233">
        <v>1</v>
      </c>
      <c r="R19" s="233">
        <v>1</v>
      </c>
      <c r="S19" s="234">
        <v>1</v>
      </c>
      <c r="T19" s="13"/>
    </row>
    <row r="20" spans="2:20" x14ac:dyDescent="0.25">
      <c r="B20" s="1"/>
      <c r="C20" s="244">
        <v>1.5</v>
      </c>
      <c r="D20" s="235">
        <v>1</v>
      </c>
      <c r="E20" s="232">
        <v>1</v>
      </c>
      <c r="F20" s="232">
        <v>1</v>
      </c>
      <c r="G20" s="232">
        <v>1</v>
      </c>
      <c r="H20" s="232">
        <v>1</v>
      </c>
      <c r="I20" s="232">
        <v>1</v>
      </c>
      <c r="J20" s="232">
        <v>1</v>
      </c>
      <c r="K20" s="232">
        <v>1</v>
      </c>
      <c r="L20" s="232">
        <v>1</v>
      </c>
      <c r="M20" s="232">
        <v>1</v>
      </c>
      <c r="N20" s="232">
        <v>1</v>
      </c>
      <c r="O20" s="232">
        <v>1</v>
      </c>
      <c r="P20" s="232">
        <v>1</v>
      </c>
      <c r="Q20" s="232">
        <v>1</v>
      </c>
      <c r="R20" s="232">
        <v>1</v>
      </c>
      <c r="S20" s="236">
        <v>1</v>
      </c>
      <c r="T20" s="13"/>
    </row>
    <row r="21" spans="2:20" x14ac:dyDescent="0.25">
      <c r="B21" s="1"/>
      <c r="C21" s="244">
        <v>2</v>
      </c>
      <c r="D21" s="235">
        <v>1</v>
      </c>
      <c r="E21" s="232">
        <v>1</v>
      </c>
      <c r="F21" s="232">
        <v>1</v>
      </c>
      <c r="G21" s="232">
        <v>1</v>
      </c>
      <c r="H21" s="232">
        <v>1</v>
      </c>
      <c r="I21" s="232">
        <v>1</v>
      </c>
      <c r="J21" s="232">
        <v>1</v>
      </c>
      <c r="K21" s="232">
        <v>1</v>
      </c>
      <c r="L21" s="232">
        <v>1</v>
      </c>
      <c r="M21" s="232">
        <v>1</v>
      </c>
      <c r="N21" s="232">
        <v>1</v>
      </c>
      <c r="O21" s="232">
        <v>1</v>
      </c>
      <c r="P21" s="232">
        <v>1</v>
      </c>
      <c r="Q21" s="232">
        <v>1</v>
      </c>
      <c r="R21" s="232">
        <v>1</v>
      </c>
      <c r="S21" s="236">
        <v>1</v>
      </c>
      <c r="T21" s="13"/>
    </row>
    <row r="22" spans="2:20" x14ac:dyDescent="0.25">
      <c r="B22" s="1"/>
      <c r="C22" s="244">
        <v>2.5</v>
      </c>
      <c r="D22" s="235">
        <v>1</v>
      </c>
      <c r="E22" s="232">
        <v>1</v>
      </c>
      <c r="F22" s="232">
        <v>1</v>
      </c>
      <c r="G22" s="232">
        <v>1</v>
      </c>
      <c r="H22" s="232">
        <v>1</v>
      </c>
      <c r="I22" s="232">
        <v>1</v>
      </c>
      <c r="J22" s="232">
        <v>1</v>
      </c>
      <c r="K22" s="232">
        <v>1</v>
      </c>
      <c r="L22" s="232">
        <v>1</v>
      </c>
      <c r="M22" s="232">
        <v>1</v>
      </c>
      <c r="N22" s="232">
        <v>1</v>
      </c>
      <c r="O22" s="232">
        <v>1</v>
      </c>
      <c r="P22" s="232">
        <v>1</v>
      </c>
      <c r="Q22" s="232">
        <v>1</v>
      </c>
      <c r="R22" s="232">
        <v>1</v>
      </c>
      <c r="S22" s="236">
        <v>1</v>
      </c>
      <c r="T22" s="13"/>
    </row>
    <row r="23" spans="2:20" x14ac:dyDescent="0.25">
      <c r="B23" s="1"/>
      <c r="C23" s="244">
        <v>3</v>
      </c>
      <c r="D23" s="235">
        <v>1</v>
      </c>
      <c r="E23" s="232">
        <v>1</v>
      </c>
      <c r="F23" s="232">
        <v>1</v>
      </c>
      <c r="G23" s="232">
        <v>1</v>
      </c>
      <c r="H23" s="232">
        <v>1</v>
      </c>
      <c r="I23" s="232">
        <v>1</v>
      </c>
      <c r="J23" s="232">
        <v>1</v>
      </c>
      <c r="K23" s="232">
        <v>1</v>
      </c>
      <c r="L23" s="232">
        <v>1</v>
      </c>
      <c r="M23" s="232">
        <v>1</v>
      </c>
      <c r="N23" s="232">
        <v>1</v>
      </c>
      <c r="O23" s="232">
        <v>1</v>
      </c>
      <c r="P23" s="232">
        <v>1</v>
      </c>
      <c r="Q23" s="232">
        <v>1</v>
      </c>
      <c r="R23" s="232">
        <v>1</v>
      </c>
      <c r="S23" s="236">
        <v>1</v>
      </c>
      <c r="T23" s="13"/>
    </row>
    <row r="24" spans="2:20" x14ac:dyDescent="0.25">
      <c r="B24" s="1"/>
      <c r="C24" s="244">
        <v>4</v>
      </c>
      <c r="D24" s="235">
        <v>1</v>
      </c>
      <c r="E24" s="232">
        <v>1</v>
      </c>
      <c r="F24" s="232">
        <v>1</v>
      </c>
      <c r="G24" s="232">
        <v>1</v>
      </c>
      <c r="H24" s="232">
        <v>1</v>
      </c>
      <c r="I24" s="232">
        <v>1</v>
      </c>
      <c r="J24" s="232">
        <v>1</v>
      </c>
      <c r="K24" s="232">
        <v>1</v>
      </c>
      <c r="L24" s="232">
        <v>1</v>
      </c>
      <c r="M24" s="232">
        <v>1</v>
      </c>
      <c r="N24" s="232">
        <v>1</v>
      </c>
      <c r="O24" s="232">
        <v>1</v>
      </c>
      <c r="P24" s="232">
        <v>1</v>
      </c>
      <c r="Q24" s="232">
        <v>1</v>
      </c>
      <c r="R24" s="232">
        <v>1</v>
      </c>
      <c r="S24" s="236">
        <v>1</v>
      </c>
      <c r="T24" s="13"/>
    </row>
    <row r="25" spans="2:20" x14ac:dyDescent="0.25">
      <c r="B25" s="1"/>
      <c r="C25" s="244">
        <v>5</v>
      </c>
      <c r="D25" s="235">
        <v>1</v>
      </c>
      <c r="E25" s="232">
        <v>1</v>
      </c>
      <c r="F25" s="232">
        <v>1</v>
      </c>
      <c r="G25" s="232">
        <v>1</v>
      </c>
      <c r="H25" s="232">
        <v>1</v>
      </c>
      <c r="I25" s="232">
        <v>1</v>
      </c>
      <c r="J25" s="232">
        <v>1</v>
      </c>
      <c r="K25" s="232">
        <v>1</v>
      </c>
      <c r="L25" s="232">
        <v>1</v>
      </c>
      <c r="M25" s="232">
        <v>1</v>
      </c>
      <c r="N25" s="232">
        <v>1</v>
      </c>
      <c r="O25" s="232">
        <v>1</v>
      </c>
      <c r="P25" s="232">
        <v>1</v>
      </c>
      <c r="Q25" s="232">
        <v>1</v>
      </c>
      <c r="R25" s="232">
        <v>1</v>
      </c>
      <c r="S25" s="236">
        <v>1</v>
      </c>
      <c r="T25" s="13"/>
    </row>
    <row r="26" spans="2:20" x14ac:dyDescent="0.25">
      <c r="B26" s="1"/>
      <c r="C26" s="244">
        <v>6</v>
      </c>
      <c r="D26" s="235">
        <v>1</v>
      </c>
      <c r="E26" s="232">
        <v>1</v>
      </c>
      <c r="F26" s="232">
        <v>1</v>
      </c>
      <c r="G26" s="232">
        <v>1</v>
      </c>
      <c r="H26" s="232">
        <v>1</v>
      </c>
      <c r="I26" s="232">
        <v>1</v>
      </c>
      <c r="J26" s="232">
        <v>1</v>
      </c>
      <c r="K26" s="232">
        <v>1</v>
      </c>
      <c r="L26" s="232">
        <v>1</v>
      </c>
      <c r="M26" s="232">
        <v>1</v>
      </c>
      <c r="N26" s="232">
        <v>1</v>
      </c>
      <c r="O26" s="232">
        <v>1</v>
      </c>
      <c r="P26" s="232">
        <v>1</v>
      </c>
      <c r="Q26" s="232">
        <v>1</v>
      </c>
      <c r="R26" s="232">
        <v>1</v>
      </c>
      <c r="S26" s="236">
        <v>1</v>
      </c>
      <c r="T26" s="13"/>
    </row>
    <row r="27" spans="2:20" x14ac:dyDescent="0.25">
      <c r="B27" s="1"/>
      <c r="C27" s="244">
        <v>7</v>
      </c>
      <c r="D27" s="235">
        <v>1</v>
      </c>
      <c r="E27" s="232">
        <v>1</v>
      </c>
      <c r="F27" s="232">
        <v>1</v>
      </c>
      <c r="G27" s="232">
        <v>1</v>
      </c>
      <c r="H27" s="232">
        <v>1</v>
      </c>
      <c r="I27" s="232">
        <v>1</v>
      </c>
      <c r="J27" s="232">
        <v>1</v>
      </c>
      <c r="K27" s="232">
        <v>1</v>
      </c>
      <c r="L27" s="232">
        <v>1</v>
      </c>
      <c r="M27" s="232">
        <v>1</v>
      </c>
      <c r="N27" s="232">
        <v>1</v>
      </c>
      <c r="O27" s="232">
        <v>1</v>
      </c>
      <c r="P27" s="232">
        <v>1</v>
      </c>
      <c r="Q27" s="232">
        <v>1</v>
      </c>
      <c r="R27" s="232">
        <v>1</v>
      </c>
      <c r="S27" s="236">
        <v>1</v>
      </c>
      <c r="T27" s="13"/>
    </row>
    <row r="28" spans="2:20" x14ac:dyDescent="0.25">
      <c r="B28" s="1"/>
      <c r="C28" s="244">
        <v>8</v>
      </c>
      <c r="D28" s="235">
        <v>1</v>
      </c>
      <c r="E28" s="232">
        <v>1</v>
      </c>
      <c r="F28" s="232">
        <v>1</v>
      </c>
      <c r="G28" s="232">
        <v>1</v>
      </c>
      <c r="H28" s="232">
        <v>1</v>
      </c>
      <c r="I28" s="232">
        <v>1</v>
      </c>
      <c r="J28" s="232">
        <v>1</v>
      </c>
      <c r="K28" s="232">
        <v>1</v>
      </c>
      <c r="L28" s="232">
        <v>1</v>
      </c>
      <c r="M28" s="232">
        <v>1</v>
      </c>
      <c r="N28" s="232">
        <v>1</v>
      </c>
      <c r="O28" s="232">
        <v>1</v>
      </c>
      <c r="P28" s="232">
        <v>1</v>
      </c>
      <c r="Q28" s="232">
        <v>1</v>
      </c>
      <c r="R28" s="232">
        <v>1</v>
      </c>
      <c r="S28" s="236">
        <v>1</v>
      </c>
      <c r="T28" s="13"/>
    </row>
    <row r="29" spans="2:20" x14ac:dyDescent="0.25">
      <c r="B29" s="1"/>
      <c r="C29" s="244">
        <v>9</v>
      </c>
      <c r="D29" s="235">
        <v>1</v>
      </c>
      <c r="E29" s="232">
        <v>1</v>
      </c>
      <c r="F29" s="232">
        <v>1</v>
      </c>
      <c r="G29" s="232">
        <v>1</v>
      </c>
      <c r="H29" s="232">
        <v>1</v>
      </c>
      <c r="I29" s="232">
        <v>1</v>
      </c>
      <c r="J29" s="232">
        <v>1</v>
      </c>
      <c r="K29" s="232">
        <v>1</v>
      </c>
      <c r="L29" s="232">
        <v>1</v>
      </c>
      <c r="M29" s="232">
        <v>1</v>
      </c>
      <c r="N29" s="232">
        <v>1</v>
      </c>
      <c r="O29" s="232">
        <v>1</v>
      </c>
      <c r="P29" s="232">
        <v>1</v>
      </c>
      <c r="Q29" s="232">
        <v>1</v>
      </c>
      <c r="R29" s="232">
        <v>1</v>
      </c>
      <c r="S29" s="236">
        <v>1</v>
      </c>
      <c r="T29" s="13"/>
    </row>
    <row r="30" spans="2:20" x14ac:dyDescent="0.25">
      <c r="B30" s="1"/>
      <c r="C30" s="244">
        <v>10</v>
      </c>
      <c r="D30" s="235">
        <v>1</v>
      </c>
      <c r="E30" s="232">
        <v>1</v>
      </c>
      <c r="F30" s="232">
        <v>1</v>
      </c>
      <c r="G30" s="232">
        <v>1</v>
      </c>
      <c r="H30" s="232">
        <v>1</v>
      </c>
      <c r="I30" s="232">
        <v>1</v>
      </c>
      <c r="J30" s="232">
        <v>1</v>
      </c>
      <c r="K30" s="232">
        <v>1</v>
      </c>
      <c r="L30" s="232">
        <v>1</v>
      </c>
      <c r="M30" s="232">
        <v>1</v>
      </c>
      <c r="N30" s="232">
        <v>1</v>
      </c>
      <c r="O30" s="232">
        <v>1</v>
      </c>
      <c r="P30" s="232">
        <v>1</v>
      </c>
      <c r="Q30" s="232">
        <v>1</v>
      </c>
      <c r="R30" s="232">
        <v>1</v>
      </c>
      <c r="S30" s="236">
        <v>1</v>
      </c>
      <c r="T30" s="13"/>
    </row>
    <row r="31" spans="2:20" x14ac:dyDescent="0.25">
      <c r="B31" s="1"/>
      <c r="C31" s="244">
        <v>12</v>
      </c>
      <c r="D31" s="235">
        <v>1</v>
      </c>
      <c r="E31" s="232">
        <v>1</v>
      </c>
      <c r="F31" s="232">
        <v>1</v>
      </c>
      <c r="G31" s="232">
        <v>1</v>
      </c>
      <c r="H31" s="232">
        <v>1</v>
      </c>
      <c r="I31" s="232">
        <v>1</v>
      </c>
      <c r="J31" s="232">
        <v>1</v>
      </c>
      <c r="K31" s="232">
        <v>1</v>
      </c>
      <c r="L31" s="232">
        <v>1</v>
      </c>
      <c r="M31" s="232">
        <v>1</v>
      </c>
      <c r="N31" s="232">
        <v>1</v>
      </c>
      <c r="O31" s="232">
        <v>1</v>
      </c>
      <c r="P31" s="232">
        <v>1</v>
      </c>
      <c r="Q31" s="232">
        <v>1</v>
      </c>
      <c r="R31" s="232">
        <v>1</v>
      </c>
      <c r="S31" s="236">
        <v>1</v>
      </c>
      <c r="T31" s="13"/>
    </row>
    <row r="32" spans="2:20" x14ac:dyDescent="0.25">
      <c r="B32" s="1"/>
      <c r="C32" s="244">
        <v>14</v>
      </c>
      <c r="D32" s="235">
        <v>1</v>
      </c>
      <c r="E32" s="232">
        <v>1</v>
      </c>
      <c r="F32" s="232">
        <v>1</v>
      </c>
      <c r="G32" s="232">
        <v>1</v>
      </c>
      <c r="H32" s="232">
        <v>1</v>
      </c>
      <c r="I32" s="232">
        <v>1</v>
      </c>
      <c r="J32" s="232">
        <v>1</v>
      </c>
      <c r="K32" s="232">
        <v>1</v>
      </c>
      <c r="L32" s="232">
        <v>1</v>
      </c>
      <c r="M32" s="232">
        <v>1</v>
      </c>
      <c r="N32" s="232">
        <v>1</v>
      </c>
      <c r="O32" s="232">
        <v>1</v>
      </c>
      <c r="P32" s="232">
        <v>1</v>
      </c>
      <c r="Q32" s="232">
        <v>1</v>
      </c>
      <c r="R32" s="232">
        <v>1</v>
      </c>
      <c r="S32" s="236">
        <v>1</v>
      </c>
      <c r="T32" s="13"/>
    </row>
    <row r="33" spans="2:20" x14ac:dyDescent="0.25">
      <c r="B33" s="1"/>
      <c r="C33" s="244">
        <v>17</v>
      </c>
      <c r="D33" s="235">
        <v>1</v>
      </c>
      <c r="E33" s="232">
        <v>1</v>
      </c>
      <c r="F33" s="232">
        <v>1</v>
      </c>
      <c r="G33" s="232">
        <v>1</v>
      </c>
      <c r="H33" s="232">
        <v>1</v>
      </c>
      <c r="I33" s="232">
        <v>1</v>
      </c>
      <c r="J33" s="232">
        <v>1</v>
      </c>
      <c r="K33" s="232">
        <v>1</v>
      </c>
      <c r="L33" s="232">
        <v>1</v>
      </c>
      <c r="M33" s="232">
        <v>1</v>
      </c>
      <c r="N33" s="232">
        <v>1</v>
      </c>
      <c r="O33" s="232">
        <v>1</v>
      </c>
      <c r="P33" s="232">
        <v>1</v>
      </c>
      <c r="Q33" s="232">
        <v>1</v>
      </c>
      <c r="R33" s="232">
        <v>1</v>
      </c>
      <c r="S33" s="236">
        <v>1</v>
      </c>
      <c r="T33" s="13"/>
    </row>
    <row r="34" spans="2:20" ht="15.75" thickBot="1" x14ac:dyDescent="0.3">
      <c r="B34" s="1"/>
      <c r="C34" s="245">
        <v>20</v>
      </c>
      <c r="D34" s="237">
        <v>1</v>
      </c>
      <c r="E34" s="238">
        <v>1</v>
      </c>
      <c r="F34" s="238">
        <v>1</v>
      </c>
      <c r="G34" s="238">
        <v>1</v>
      </c>
      <c r="H34" s="238">
        <v>1</v>
      </c>
      <c r="I34" s="238">
        <v>1</v>
      </c>
      <c r="J34" s="238">
        <v>1</v>
      </c>
      <c r="K34" s="238">
        <v>1</v>
      </c>
      <c r="L34" s="238">
        <v>1</v>
      </c>
      <c r="M34" s="238">
        <v>1</v>
      </c>
      <c r="N34" s="238">
        <v>1</v>
      </c>
      <c r="O34" s="238">
        <v>1</v>
      </c>
      <c r="P34" s="238">
        <v>1</v>
      </c>
      <c r="Q34" s="238">
        <v>1</v>
      </c>
      <c r="R34" s="238">
        <v>1</v>
      </c>
      <c r="S34" s="239">
        <v>1</v>
      </c>
      <c r="T34" s="13"/>
    </row>
    <row r="35" spans="2:20" ht="15.75" thickTop="1" x14ac:dyDescent="0.25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</row>
    <row r="37" spans="2:20" ht="31.5" thickBot="1" x14ac:dyDescent="0.3">
      <c r="B37" s="347" t="s">
        <v>1173</v>
      </c>
      <c r="C37" s="348"/>
      <c r="D37" s="348"/>
      <c r="E37" s="348"/>
      <c r="F37" s="348"/>
      <c r="G37" s="348"/>
      <c r="H37" s="348"/>
      <c r="I37" s="348"/>
      <c r="J37" s="348"/>
      <c r="K37" s="348"/>
      <c r="L37" s="348"/>
      <c r="M37" s="348"/>
      <c r="N37" s="348"/>
      <c r="O37" s="348"/>
      <c r="P37" s="348"/>
      <c r="Q37" s="348"/>
      <c r="R37" s="348"/>
      <c r="S37" s="348"/>
      <c r="T37" s="348"/>
    </row>
    <row r="38" spans="2:20" ht="30.75" customHeight="1" thickTop="1" thickBot="1" x14ac:dyDescent="0.3">
      <c r="B38" s="1"/>
      <c r="C38" s="80"/>
      <c r="D38" s="79">
        <f>D18</f>
        <v>600</v>
      </c>
      <c r="E38" s="3">
        <f t="shared" ref="E38:S38" si="0">E18</f>
        <v>800</v>
      </c>
      <c r="F38" s="3">
        <f t="shared" si="0"/>
        <v>1000</v>
      </c>
      <c r="G38" s="3">
        <f t="shared" si="0"/>
        <v>1240</v>
      </c>
      <c r="H38" s="3">
        <f t="shared" si="0"/>
        <v>1520</v>
      </c>
      <c r="I38" s="3">
        <f t="shared" si="0"/>
        <v>1760</v>
      </c>
      <c r="J38" s="3">
        <f t="shared" si="0"/>
        <v>2000</v>
      </c>
      <c r="K38" s="3">
        <f t="shared" si="0"/>
        <v>2520</v>
      </c>
      <c r="L38" s="3">
        <f t="shared" si="0"/>
        <v>3000</v>
      </c>
      <c r="M38" s="3">
        <f t="shared" si="0"/>
        <v>3520</v>
      </c>
      <c r="N38" s="3">
        <f t="shared" si="0"/>
        <v>4000</v>
      </c>
      <c r="O38" s="3">
        <f t="shared" si="0"/>
        <v>4520</v>
      </c>
      <c r="P38" s="3">
        <f t="shared" si="0"/>
        <v>5000</v>
      </c>
      <c r="Q38" s="3">
        <f>Q18</f>
        <v>5520</v>
      </c>
      <c r="R38" s="3">
        <f t="shared" si="0"/>
        <v>6000</v>
      </c>
      <c r="S38" s="4">
        <f t="shared" si="0"/>
        <v>6520</v>
      </c>
      <c r="T38" s="150"/>
    </row>
    <row r="39" spans="2:20" ht="15.75" thickTop="1" x14ac:dyDescent="0.25">
      <c r="B39" s="1"/>
      <c r="C39" s="240">
        <f>C19</f>
        <v>1.2</v>
      </c>
      <c r="D39" s="188">
        <v>0.75</v>
      </c>
      <c r="E39" s="189">
        <v>0.80193746089935303</v>
      </c>
      <c r="F39" s="189">
        <v>0.86443746089935303</v>
      </c>
      <c r="G39" s="189">
        <v>0.91395306587219238</v>
      </c>
      <c r="H39" s="189">
        <v>0.94784373044967651</v>
      </c>
      <c r="I39" s="189">
        <v>0.96478903293609619</v>
      </c>
      <c r="J39" s="189">
        <v>0.97326171398162842</v>
      </c>
      <c r="K39" s="189">
        <v>0.98173439502716064</v>
      </c>
      <c r="L39" s="189">
        <v>0.98517930507659912</v>
      </c>
      <c r="M39" s="189">
        <v>0.99258965253829956</v>
      </c>
      <c r="N39" s="189">
        <v>1</v>
      </c>
      <c r="O39" s="189">
        <v>1</v>
      </c>
      <c r="P39" s="189">
        <v>1</v>
      </c>
      <c r="Q39" s="189">
        <v>1</v>
      </c>
      <c r="R39" s="189">
        <v>1</v>
      </c>
      <c r="S39" s="190">
        <v>1</v>
      </c>
      <c r="T39" s="13"/>
    </row>
    <row r="40" spans="2:20" x14ac:dyDescent="0.25">
      <c r="B40" s="1"/>
      <c r="C40" s="241">
        <f t="shared" ref="C40:C54" si="1">C20</f>
        <v>1.5</v>
      </c>
      <c r="D40" s="191">
        <v>0.8125</v>
      </c>
      <c r="E40" s="192">
        <v>0.84429997205734253</v>
      </c>
      <c r="F40" s="192">
        <v>0.88924527168273926</v>
      </c>
      <c r="G40" s="192">
        <v>0.92635703086853027</v>
      </c>
      <c r="H40" s="192">
        <v>0.95404571294784546</v>
      </c>
      <c r="I40" s="192">
        <v>0.96789002418518066</v>
      </c>
      <c r="J40" s="192">
        <v>0.97481220960617065</v>
      </c>
      <c r="K40" s="192">
        <v>0.98173439502716064</v>
      </c>
      <c r="L40" s="192">
        <v>0.98517930507659912</v>
      </c>
      <c r="M40" s="192">
        <v>0.99258965253829956</v>
      </c>
      <c r="N40" s="192">
        <v>1</v>
      </c>
      <c r="O40" s="192">
        <v>1</v>
      </c>
      <c r="P40" s="192">
        <v>1</v>
      </c>
      <c r="Q40" s="192">
        <v>1</v>
      </c>
      <c r="R40" s="192">
        <v>1</v>
      </c>
      <c r="S40" s="193">
        <v>1</v>
      </c>
      <c r="T40" s="13"/>
    </row>
    <row r="41" spans="2:20" x14ac:dyDescent="0.25">
      <c r="B41" s="1"/>
      <c r="C41" s="241">
        <f t="shared" si="1"/>
        <v>2</v>
      </c>
      <c r="D41" s="194">
        <v>0.84375</v>
      </c>
      <c r="E41" s="192">
        <v>0.86548125743865967</v>
      </c>
      <c r="F41" s="192">
        <v>0.90346252918243408</v>
      </c>
      <c r="G41" s="192">
        <v>0.93709218502044678</v>
      </c>
      <c r="H41" s="192">
        <v>0.95941329002380371</v>
      </c>
      <c r="I41" s="192">
        <v>0.97057384252548218</v>
      </c>
      <c r="J41" s="192">
        <v>0.97615408897399902</v>
      </c>
      <c r="K41" s="192">
        <v>0.98173439502716064</v>
      </c>
      <c r="L41" s="192">
        <v>0.98517930507659912</v>
      </c>
      <c r="M41" s="192">
        <v>0.99258965253829956</v>
      </c>
      <c r="N41" s="192">
        <v>1</v>
      </c>
      <c r="O41" s="192">
        <v>1</v>
      </c>
      <c r="P41" s="192">
        <v>1</v>
      </c>
      <c r="Q41" s="192">
        <v>1</v>
      </c>
      <c r="R41" s="192">
        <v>1</v>
      </c>
      <c r="S41" s="193">
        <v>1</v>
      </c>
      <c r="T41" s="13"/>
    </row>
    <row r="42" spans="2:20" x14ac:dyDescent="0.25">
      <c r="B42" s="1"/>
      <c r="C42" s="241">
        <f t="shared" si="1"/>
        <v>2.5</v>
      </c>
      <c r="D42" s="194">
        <v>0.859375</v>
      </c>
      <c r="E42" s="192">
        <v>0.87607187032699585</v>
      </c>
      <c r="F42" s="192">
        <v>0.90875780582427979</v>
      </c>
      <c r="G42" s="192">
        <v>0.93973982334136963</v>
      </c>
      <c r="H42" s="192">
        <v>0.96073710918426514</v>
      </c>
      <c r="I42" s="192">
        <v>0.97123575210571289</v>
      </c>
      <c r="J42" s="192">
        <v>0.97648507356643677</v>
      </c>
      <c r="K42" s="192">
        <v>0.98173439502716064</v>
      </c>
      <c r="L42" s="192">
        <v>0.98517930507659912</v>
      </c>
      <c r="M42" s="192">
        <v>0.99258965253829956</v>
      </c>
      <c r="N42" s="192">
        <v>1</v>
      </c>
      <c r="O42" s="192">
        <v>1</v>
      </c>
      <c r="P42" s="192">
        <v>1.0001050233840942</v>
      </c>
      <c r="Q42" s="192">
        <v>1.0001050233840942</v>
      </c>
      <c r="R42" s="192">
        <v>1.0001050233840942</v>
      </c>
      <c r="S42" s="193">
        <v>1.0001050233840942</v>
      </c>
      <c r="T42" s="13"/>
    </row>
    <row r="43" spans="2:20" x14ac:dyDescent="0.25">
      <c r="B43" s="1"/>
      <c r="C43" s="241">
        <f t="shared" si="1"/>
        <v>3</v>
      </c>
      <c r="D43" s="194">
        <v>0.8671875</v>
      </c>
      <c r="E43" s="192">
        <v>0.88275623321533203</v>
      </c>
      <c r="F43" s="192">
        <v>0.91209995746612549</v>
      </c>
      <c r="G43" s="192">
        <v>0.94141089916229248</v>
      </c>
      <c r="H43" s="192">
        <v>0.96157264709472656</v>
      </c>
      <c r="I43" s="192">
        <v>0.9716535210609436</v>
      </c>
      <c r="J43" s="192">
        <v>0.97669398784637451</v>
      </c>
      <c r="K43" s="192">
        <v>0.98173439502716064</v>
      </c>
      <c r="L43" s="192">
        <v>0.98517930507659912</v>
      </c>
      <c r="M43" s="192">
        <v>0.99258965253829956</v>
      </c>
      <c r="N43" s="192">
        <v>1</v>
      </c>
      <c r="O43" s="192">
        <v>1</v>
      </c>
      <c r="P43" s="192">
        <v>1.0002100467681885</v>
      </c>
      <c r="Q43" s="192">
        <v>1.0002100467681885</v>
      </c>
      <c r="R43" s="192">
        <v>1.0002100467681885</v>
      </c>
      <c r="S43" s="193">
        <v>1.0002100467681885</v>
      </c>
      <c r="T43" s="13"/>
    </row>
    <row r="44" spans="2:20" x14ac:dyDescent="0.25">
      <c r="B44" s="1"/>
      <c r="C44" s="241">
        <f t="shared" si="1"/>
        <v>4</v>
      </c>
      <c r="D44" s="194">
        <v>0.875</v>
      </c>
      <c r="E44" s="192">
        <v>0.88666248321533203</v>
      </c>
      <c r="F44" s="192">
        <v>0.91405308246612549</v>
      </c>
      <c r="G44" s="192">
        <v>0.94238746166229248</v>
      </c>
      <c r="H44" s="192">
        <v>0.96206092834472656</v>
      </c>
      <c r="I44" s="192">
        <v>0.9718976616859436</v>
      </c>
      <c r="J44" s="192">
        <v>0.98173439502716064</v>
      </c>
      <c r="K44" s="192">
        <v>0.98173439502716064</v>
      </c>
      <c r="L44" s="192">
        <v>0.98517930507659912</v>
      </c>
      <c r="M44" s="192">
        <v>0.99258965253829956</v>
      </c>
      <c r="N44" s="192">
        <v>1</v>
      </c>
      <c r="O44" s="192">
        <v>1</v>
      </c>
      <c r="P44" s="192">
        <v>1.0002100467681885</v>
      </c>
      <c r="Q44" s="192">
        <v>1.0002100467681885</v>
      </c>
      <c r="R44" s="192">
        <v>1.0002100467681885</v>
      </c>
      <c r="S44" s="193">
        <v>1.0002100467681885</v>
      </c>
      <c r="T44" s="13"/>
    </row>
    <row r="45" spans="2:20" x14ac:dyDescent="0.25">
      <c r="B45" s="1"/>
      <c r="C45" s="241">
        <f t="shared" si="1"/>
        <v>5</v>
      </c>
      <c r="D45" s="194">
        <v>0.8828125</v>
      </c>
      <c r="E45" s="192">
        <v>0.89329248666763306</v>
      </c>
      <c r="F45" s="192">
        <v>0.91736811399459839</v>
      </c>
      <c r="G45" s="192">
        <v>0.94404494762420654</v>
      </c>
      <c r="H45" s="192">
        <v>0.96288967132568359</v>
      </c>
      <c r="I45" s="192">
        <v>0.97231203317642212</v>
      </c>
      <c r="J45" s="192">
        <v>0.98173439502716064</v>
      </c>
      <c r="K45" s="192">
        <v>0.98173439502716064</v>
      </c>
      <c r="L45" s="192">
        <v>0.98517930507659912</v>
      </c>
      <c r="M45" s="192">
        <v>0.99258965253829956</v>
      </c>
      <c r="N45" s="192">
        <v>1</v>
      </c>
      <c r="O45" s="192">
        <v>1</v>
      </c>
      <c r="P45" s="192">
        <v>1.0002100467681885</v>
      </c>
      <c r="Q45" s="192">
        <v>1.0002100467681885</v>
      </c>
      <c r="R45" s="192">
        <v>1.0002100467681885</v>
      </c>
      <c r="S45" s="193">
        <v>1.0002100467681885</v>
      </c>
      <c r="T45" s="13"/>
    </row>
    <row r="46" spans="2:20" x14ac:dyDescent="0.25">
      <c r="B46" s="1"/>
      <c r="C46" s="241">
        <f t="shared" si="1"/>
        <v>6</v>
      </c>
      <c r="D46" s="194">
        <v>0.9069703221321106</v>
      </c>
      <c r="E46" s="192">
        <v>0.91798853874206543</v>
      </c>
      <c r="F46" s="192">
        <v>0.93291544914245605</v>
      </c>
      <c r="G46" s="192">
        <v>0.95181864500045776</v>
      </c>
      <c r="H46" s="192">
        <v>0.96677649021148682</v>
      </c>
      <c r="I46" s="192">
        <v>0.97425544261932373</v>
      </c>
      <c r="J46" s="192">
        <v>0.98173439502716064</v>
      </c>
      <c r="K46" s="192">
        <v>0.98173439502716064</v>
      </c>
      <c r="L46" s="192">
        <v>0.98517930507659912</v>
      </c>
      <c r="M46" s="192">
        <v>0.99258965253829956</v>
      </c>
      <c r="N46" s="192">
        <v>1</v>
      </c>
      <c r="O46" s="192">
        <v>1</v>
      </c>
      <c r="P46" s="192">
        <v>1.0002100467681885</v>
      </c>
      <c r="Q46" s="192">
        <v>1.0002100467681885</v>
      </c>
      <c r="R46" s="192">
        <v>1.0002100467681885</v>
      </c>
      <c r="S46" s="193">
        <v>1.0002100467681885</v>
      </c>
      <c r="T46" s="13"/>
    </row>
    <row r="47" spans="2:20" x14ac:dyDescent="0.25">
      <c r="B47" s="1"/>
      <c r="C47" s="241">
        <f t="shared" si="1"/>
        <v>7</v>
      </c>
      <c r="D47" s="194">
        <v>0.9362671971321106</v>
      </c>
      <c r="E47" s="192">
        <v>0.94466543197631836</v>
      </c>
      <c r="F47" s="192">
        <v>0.95306360721588135</v>
      </c>
      <c r="G47" s="192">
        <v>0.96248143911361694</v>
      </c>
      <c r="H47" s="192">
        <v>0.97210788726806641</v>
      </c>
      <c r="I47" s="192">
        <v>0.98173439502716064</v>
      </c>
      <c r="J47" s="192">
        <v>0.98173439502716064</v>
      </c>
      <c r="K47" s="192">
        <v>0.98173439502716064</v>
      </c>
      <c r="L47" s="192">
        <v>0.98517930507659912</v>
      </c>
      <c r="M47" s="192">
        <v>0.99258965253829956</v>
      </c>
      <c r="N47" s="192">
        <v>1</v>
      </c>
      <c r="O47" s="192">
        <v>1</v>
      </c>
      <c r="P47" s="192">
        <v>1.0002100467681885</v>
      </c>
      <c r="Q47" s="192">
        <v>1.0002100467681885</v>
      </c>
      <c r="R47" s="192">
        <v>1.0002100467681885</v>
      </c>
      <c r="S47" s="193">
        <v>1.0002100467681885</v>
      </c>
      <c r="T47" s="13"/>
    </row>
    <row r="48" spans="2:20" x14ac:dyDescent="0.25">
      <c r="B48" s="1"/>
      <c r="C48" s="241">
        <f t="shared" si="1"/>
        <v>8</v>
      </c>
      <c r="D48" s="194">
        <v>0.9509156346321106</v>
      </c>
      <c r="E48" s="192">
        <v>0.95800387859344482</v>
      </c>
      <c r="F48" s="192">
        <v>0.96509206295013428</v>
      </c>
      <c r="G48" s="192">
        <v>0.96980094909667969</v>
      </c>
      <c r="H48" s="192">
        <v>0.97712051868438721</v>
      </c>
      <c r="I48" s="192">
        <v>0.98173439502716064</v>
      </c>
      <c r="J48" s="192">
        <v>0.98173439502716064</v>
      </c>
      <c r="K48" s="192">
        <v>0.98173439502716064</v>
      </c>
      <c r="L48" s="192">
        <v>0.98517930507659912</v>
      </c>
      <c r="M48" s="192">
        <v>0.99258965253829956</v>
      </c>
      <c r="N48" s="192">
        <v>1</v>
      </c>
      <c r="O48" s="192">
        <v>1</v>
      </c>
      <c r="P48" s="192">
        <v>1.0002100467681885</v>
      </c>
      <c r="Q48" s="192">
        <v>1.0002100467681885</v>
      </c>
      <c r="R48" s="192">
        <v>1.0002100467681885</v>
      </c>
      <c r="S48" s="193">
        <v>1.0002100467681885</v>
      </c>
      <c r="T48" s="13"/>
    </row>
    <row r="49" spans="2:20" x14ac:dyDescent="0.25">
      <c r="B49" s="1"/>
      <c r="C49" s="241">
        <f t="shared" si="1"/>
        <v>9</v>
      </c>
      <c r="D49" s="194">
        <v>0.9582398533821106</v>
      </c>
      <c r="E49" s="192">
        <v>0.96467304229736328</v>
      </c>
      <c r="F49" s="192">
        <v>0.97110629081726074</v>
      </c>
      <c r="G49" s="192">
        <v>0.97712051868438721</v>
      </c>
      <c r="H49" s="192">
        <v>0.97712051868438721</v>
      </c>
      <c r="I49" s="192">
        <v>0.98173439502716064</v>
      </c>
      <c r="J49" s="192">
        <v>0.98173439502716064</v>
      </c>
      <c r="K49" s="192">
        <v>0.98173439502716064</v>
      </c>
      <c r="L49" s="192">
        <v>0.98517930507659912</v>
      </c>
      <c r="M49" s="192">
        <v>0.99258965253829956</v>
      </c>
      <c r="N49" s="192">
        <v>1</v>
      </c>
      <c r="O49" s="192">
        <v>1</v>
      </c>
      <c r="P49" s="192">
        <v>1.0002100467681885</v>
      </c>
      <c r="Q49" s="192">
        <v>1.0002100467681885</v>
      </c>
      <c r="R49" s="192">
        <v>1.0002100467681885</v>
      </c>
      <c r="S49" s="193">
        <v>1.0002100467681885</v>
      </c>
      <c r="T49" s="13"/>
    </row>
    <row r="50" spans="2:20" x14ac:dyDescent="0.25">
      <c r="B50" s="1"/>
      <c r="C50" s="241">
        <f t="shared" si="1"/>
        <v>10</v>
      </c>
      <c r="D50" s="194">
        <v>0.9655640721321106</v>
      </c>
      <c r="E50" s="192">
        <v>0.97134232521057129</v>
      </c>
      <c r="F50" s="192">
        <v>0.97712051868438721</v>
      </c>
      <c r="G50" s="192">
        <v>0.97712051868438721</v>
      </c>
      <c r="H50" s="192">
        <v>0.97712051868438721</v>
      </c>
      <c r="I50" s="192">
        <v>0.98173439502716064</v>
      </c>
      <c r="J50" s="192">
        <v>0.98173439502716064</v>
      </c>
      <c r="K50" s="192">
        <v>0.98173439502716064</v>
      </c>
      <c r="L50" s="192">
        <v>0.98517930507659912</v>
      </c>
      <c r="M50" s="192">
        <v>0.99258965253829956</v>
      </c>
      <c r="N50" s="192">
        <v>1</v>
      </c>
      <c r="O50" s="192">
        <v>1</v>
      </c>
      <c r="P50" s="192">
        <v>1.0002100467681885</v>
      </c>
      <c r="Q50" s="192">
        <v>1.0002100467681885</v>
      </c>
      <c r="R50" s="192">
        <v>1.0002100467681885</v>
      </c>
      <c r="S50" s="193">
        <v>1.0002100467681885</v>
      </c>
      <c r="T50" s="13"/>
    </row>
    <row r="51" spans="2:20" x14ac:dyDescent="0.25">
      <c r="B51" s="1"/>
      <c r="C51" s="241">
        <f t="shared" si="1"/>
        <v>12</v>
      </c>
      <c r="D51" s="194">
        <v>0.9655640721321106</v>
      </c>
      <c r="E51" s="192">
        <v>0.97134232521057129</v>
      </c>
      <c r="F51" s="192">
        <v>0.97712051868438721</v>
      </c>
      <c r="G51" s="192">
        <v>0.97712051868438721</v>
      </c>
      <c r="H51" s="192">
        <v>0.97712051868438721</v>
      </c>
      <c r="I51" s="192">
        <v>0.98173439502716064</v>
      </c>
      <c r="J51" s="192">
        <v>0.98173439502716064</v>
      </c>
      <c r="K51" s="192">
        <v>0.98173439502716064</v>
      </c>
      <c r="L51" s="192">
        <v>0.98517930507659912</v>
      </c>
      <c r="M51" s="192">
        <v>0.99258965253829956</v>
      </c>
      <c r="N51" s="192">
        <v>1</v>
      </c>
      <c r="O51" s="192">
        <v>1</v>
      </c>
      <c r="P51" s="192">
        <v>1.0002100467681885</v>
      </c>
      <c r="Q51" s="192">
        <v>1.0002100467681885</v>
      </c>
      <c r="R51" s="192">
        <v>1.0002100467681885</v>
      </c>
      <c r="S51" s="193">
        <v>1.0002100467681885</v>
      </c>
      <c r="T51" s="13"/>
    </row>
    <row r="52" spans="2:20" x14ac:dyDescent="0.25">
      <c r="B52" s="1"/>
      <c r="C52" s="241">
        <f t="shared" si="1"/>
        <v>14</v>
      </c>
      <c r="D52" s="194">
        <v>0.9655640721321106</v>
      </c>
      <c r="E52" s="192">
        <v>0.97134232521057129</v>
      </c>
      <c r="F52" s="192">
        <v>0.97712051868438721</v>
      </c>
      <c r="G52" s="192">
        <v>0.97712051868438721</v>
      </c>
      <c r="H52" s="192">
        <v>0.97712051868438721</v>
      </c>
      <c r="I52" s="192">
        <v>0.98173439502716064</v>
      </c>
      <c r="J52" s="192">
        <v>0.98173439502716064</v>
      </c>
      <c r="K52" s="192">
        <v>0.98173439502716064</v>
      </c>
      <c r="L52" s="192">
        <v>0.98517930507659912</v>
      </c>
      <c r="M52" s="192">
        <v>0.99258965253829956</v>
      </c>
      <c r="N52" s="192">
        <v>1</v>
      </c>
      <c r="O52" s="192">
        <v>1</v>
      </c>
      <c r="P52" s="192">
        <v>1.0002100467681885</v>
      </c>
      <c r="Q52" s="192">
        <v>1.0002100467681885</v>
      </c>
      <c r="R52" s="192">
        <v>1.0002100467681885</v>
      </c>
      <c r="S52" s="193">
        <v>1.0002100467681885</v>
      </c>
      <c r="T52" s="13"/>
    </row>
    <row r="53" spans="2:20" x14ac:dyDescent="0.25">
      <c r="B53" s="1"/>
      <c r="C53" s="241">
        <f t="shared" si="1"/>
        <v>17</v>
      </c>
      <c r="D53" s="194">
        <v>0.98278200626373291</v>
      </c>
      <c r="E53" s="192">
        <v>0.9885602593421936</v>
      </c>
      <c r="F53" s="192">
        <v>0.9885602593421936</v>
      </c>
      <c r="G53" s="192">
        <v>0.9885602593421936</v>
      </c>
      <c r="H53" s="192">
        <v>0.9885602593421936</v>
      </c>
      <c r="I53" s="192">
        <v>0.99086719751358032</v>
      </c>
      <c r="J53" s="192">
        <v>0.99086719751358032</v>
      </c>
      <c r="K53" s="192">
        <v>0.99086719751358032</v>
      </c>
      <c r="L53" s="192">
        <v>0.99258965253829956</v>
      </c>
      <c r="M53" s="192">
        <v>0.99258965253829956</v>
      </c>
      <c r="N53" s="192">
        <v>1</v>
      </c>
      <c r="O53" s="192">
        <v>1</v>
      </c>
      <c r="P53" s="192">
        <v>1.0002100467681885</v>
      </c>
      <c r="Q53" s="192">
        <v>1.0002100467681885</v>
      </c>
      <c r="R53" s="192">
        <v>1.0002100467681885</v>
      </c>
      <c r="S53" s="193">
        <v>1.0002100467681885</v>
      </c>
      <c r="T53" s="13"/>
    </row>
    <row r="54" spans="2:20" ht="15.75" thickBot="1" x14ac:dyDescent="0.3">
      <c r="B54" s="1"/>
      <c r="C54" s="242">
        <f t="shared" si="1"/>
        <v>20</v>
      </c>
      <c r="D54" s="195">
        <v>1</v>
      </c>
      <c r="E54" s="196">
        <v>1</v>
      </c>
      <c r="F54" s="196">
        <v>1</v>
      </c>
      <c r="G54" s="196">
        <v>1</v>
      </c>
      <c r="H54" s="196">
        <v>1</v>
      </c>
      <c r="I54" s="196">
        <v>1</v>
      </c>
      <c r="J54" s="196">
        <v>1</v>
      </c>
      <c r="K54" s="196">
        <v>1</v>
      </c>
      <c r="L54" s="196">
        <v>1</v>
      </c>
      <c r="M54" s="196">
        <v>1</v>
      </c>
      <c r="N54" s="196">
        <v>1</v>
      </c>
      <c r="O54" s="196">
        <v>1</v>
      </c>
      <c r="P54" s="196">
        <v>1.0002100467681885</v>
      </c>
      <c r="Q54" s="196">
        <v>1.0002100467681885</v>
      </c>
      <c r="R54" s="196">
        <v>1.0002100467681885</v>
      </c>
      <c r="S54" s="197">
        <v>1.0002100467681885</v>
      </c>
      <c r="T54" s="13"/>
    </row>
    <row r="55" spans="2:20" ht="15.75" thickTop="1" x14ac:dyDescent="0.25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</row>
    <row r="57" spans="2:20" ht="30.75" x14ac:dyDescent="0.25">
      <c r="B57" s="347" t="s">
        <v>1009</v>
      </c>
      <c r="C57" s="348"/>
      <c r="D57" s="348"/>
      <c r="E57" s="348"/>
      <c r="F57" s="348"/>
      <c r="G57" s="348"/>
      <c r="H57" s="348"/>
      <c r="I57" s="348"/>
      <c r="J57" s="348"/>
      <c r="K57" s="348"/>
      <c r="L57" s="348"/>
      <c r="M57" s="348"/>
      <c r="N57" s="348"/>
      <c r="O57" s="348"/>
      <c r="P57" s="348"/>
      <c r="Q57" s="348"/>
      <c r="R57" s="348"/>
      <c r="S57" s="348"/>
      <c r="T57" s="348"/>
    </row>
    <row r="58" spans="2:20" x14ac:dyDescent="0.25">
      <c r="B58" s="1"/>
      <c r="C58" s="349" t="s">
        <v>1171</v>
      </c>
      <c r="D58" s="350"/>
      <c r="E58" s="350"/>
      <c r="F58" s="350"/>
      <c r="G58" s="350"/>
      <c r="H58" s="350"/>
      <c r="I58" s="350"/>
      <c r="J58" s="350"/>
      <c r="K58" s="350"/>
      <c r="L58" s="350"/>
      <c r="M58" s="350"/>
      <c r="N58" s="350"/>
      <c r="O58" s="350"/>
      <c r="P58" s="350"/>
      <c r="Q58" s="350"/>
      <c r="R58" s="350"/>
      <c r="S58" s="351"/>
      <c r="T58" s="1"/>
    </row>
    <row r="59" spans="2:20" x14ac:dyDescent="0.25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</row>
  </sheetData>
  <sheetProtection algorithmName="SHA-512" hashValue="ILrCj4GIbkowlI1PKrI9fW9gXeOpTLmi82xJ2KYpFt/38LRChSLchWhAIXeauL+bJxlgcCXd/FGkGWg/XC4EYw==" saltValue="e815kzb2diLnoAD6ZDXLIQ==" spinCount="100000" sheet="1" objects="1" scenarios="1"/>
  <mergeCells count="13">
    <mergeCell ref="B57:T57"/>
    <mergeCell ref="C58:S58"/>
    <mergeCell ref="B37:T37"/>
    <mergeCell ref="G3:L10"/>
    <mergeCell ref="G11:L12"/>
    <mergeCell ref="I14:J14"/>
    <mergeCell ref="Q8:R8"/>
    <mergeCell ref="O8:P8"/>
    <mergeCell ref="O10:Q10"/>
    <mergeCell ref="O12:Q12"/>
    <mergeCell ref="B17:T17"/>
    <mergeCell ref="P2:R3"/>
    <mergeCell ref="O4:S6"/>
  </mergeCells>
  <conditionalFormatting sqref="T39:T54">
    <cfRule type="colorScale" priority="5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39:S54">
    <cfRule type="colorScale" priority="4">
      <colorScale>
        <cfvo type="num" val="0.9"/>
        <cfvo type="num" val="1"/>
        <cfvo type="num" val="1.1000000000000001"/>
        <color rgb="FFF9B277"/>
        <color rgb="FF9BBB59"/>
        <color rgb="FFF9B277"/>
      </colorScale>
    </cfRule>
  </conditionalFormatting>
  <conditionalFormatting sqref="T19:T34">
    <cfRule type="colorScale" priority="2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19:S34">
    <cfRule type="colorScale" priority="1">
      <colorScale>
        <cfvo type="num" val="0.9"/>
        <cfvo type="num" val="1"/>
        <cfvo type="num" val="1.1000000000000001"/>
        <color rgb="FFF9B277"/>
        <color rgb="FF9BBB59"/>
        <color rgb="FFF9B277"/>
      </colorScale>
    </cfRule>
  </conditionalFormatting>
  <dataValidations count="5">
    <dataValidation type="decimal" showInputMessage="1" showErrorMessage="1" sqref="R12" xr:uid="{00000000-0002-0000-0600-000000000000}">
      <formula1>0</formula1>
      <formula2>0.4</formula2>
    </dataValidation>
    <dataValidation type="decimal" showInputMessage="1" showErrorMessage="1" sqref="R10" xr:uid="{00000000-0002-0000-0600-000001000000}">
      <formula1>0</formula1>
      <formula2>800</formula2>
    </dataValidation>
    <dataValidation type="decimal" showInputMessage="1" showErrorMessage="1" sqref="D19:S34" xr:uid="{00000000-0002-0000-0600-000002000000}">
      <formula1>0.5</formula1>
      <formula2>1.5</formula2>
    </dataValidation>
    <dataValidation type="decimal" showInputMessage="1" showErrorMessage="1" sqref="D18:S18" xr:uid="{00000000-0002-0000-0600-000003000000}">
      <formula1>500</formula1>
      <formula2>8000</formula2>
    </dataValidation>
    <dataValidation type="decimal" showInputMessage="1" showErrorMessage="1" sqref="C19:C34" xr:uid="{00000000-0002-0000-0600-000004000000}">
      <formula1>1</formula1>
      <formula2>30</formula2>
    </dataValidation>
  </dataValidations>
  <hyperlinks>
    <hyperlink ref="G11" r:id="rId1" xr:uid="{00000000-0004-0000-0600-000000000000}"/>
  </hyperlinks>
  <pageMargins left="0.7" right="0.7" top="0.75" bottom="0.75" header="0.3" footer="0.3"/>
  <pageSetup paperSize="9" orientation="portrait" horizontalDpi="4294967293" verticalDpi="4294967293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F28"/>
  <sheetViews>
    <sheetView showGridLines="0" showRowColHeaders="0" workbookViewId="0">
      <selection activeCell="N31" sqref="N31"/>
    </sheetView>
  </sheetViews>
  <sheetFormatPr defaultColWidth="1.7109375" defaultRowHeight="15" x14ac:dyDescent="0.25"/>
  <cols>
    <col min="1" max="1" width="1.42578125" style="2" customWidth="1"/>
    <col min="2" max="2" width="3.140625" style="2" customWidth="1"/>
    <col min="3" max="3" width="8.140625" style="2" customWidth="1"/>
    <col min="4" max="19" width="8.7109375" style="2" customWidth="1"/>
    <col min="20" max="20" width="8.42578125" style="2" customWidth="1"/>
    <col min="21" max="21" width="3.140625" style="2" customWidth="1"/>
    <col min="22" max="22" width="1.7109375" style="2" customWidth="1"/>
    <col min="23" max="23" width="3.7109375" style="2" customWidth="1"/>
    <col min="24" max="28" width="6.7109375" style="2" customWidth="1"/>
    <col min="29" max="29" width="4.7109375" style="2" customWidth="1"/>
    <col min="30" max="30" width="3.42578125" style="2" customWidth="1"/>
    <col min="31" max="31" width="2.85546875" style="2" customWidth="1"/>
    <col min="32" max="32" width="3.7109375" style="2" customWidth="1"/>
    <col min="33" max="33" width="1.7109375" style="2" customWidth="1"/>
    <col min="34" max="16384" width="1.7109375" style="2"/>
  </cols>
  <sheetData>
    <row r="1" spans="1:32" ht="20.25" customHeight="1" x14ac:dyDescent="0.25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</row>
    <row r="2" spans="1:32" ht="32.25" customHeight="1" thickBot="1" x14ac:dyDescent="0.3">
      <c r="A2" s="18"/>
      <c r="B2" s="347" t="s">
        <v>15</v>
      </c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2"/>
      <c r="W2" s="22"/>
      <c r="X2" s="22"/>
      <c r="Y2" s="22"/>
      <c r="Z2" s="22"/>
      <c r="AA2" s="22"/>
      <c r="AB2" s="22"/>
      <c r="AC2" s="22"/>
      <c r="AD2" s="22"/>
      <c r="AE2" s="22"/>
      <c r="AF2" s="22"/>
    </row>
    <row r="3" spans="1:32" ht="27.75" customHeight="1" thickTop="1" thickBot="1" x14ac:dyDescent="0.3">
      <c r="A3" s="18"/>
      <c r="B3" s="36"/>
      <c r="C3" s="37" t="s">
        <v>16</v>
      </c>
      <c r="D3" s="97">
        <v>0</v>
      </c>
      <c r="E3" s="38">
        <v>5</v>
      </c>
      <c r="F3" s="38">
        <v>10</v>
      </c>
      <c r="G3" s="38">
        <v>15</v>
      </c>
      <c r="H3" s="38">
        <v>20</v>
      </c>
      <c r="I3" s="38">
        <v>25</v>
      </c>
      <c r="J3" s="38">
        <v>30</v>
      </c>
      <c r="K3" s="38">
        <v>35</v>
      </c>
      <c r="L3" s="38">
        <v>40</v>
      </c>
      <c r="M3" s="38">
        <v>50</v>
      </c>
      <c r="N3" s="38">
        <v>60</v>
      </c>
      <c r="O3" s="38">
        <v>70</v>
      </c>
      <c r="P3" s="38">
        <v>75</v>
      </c>
      <c r="Q3" s="38">
        <v>80</v>
      </c>
      <c r="R3" s="38">
        <v>85</v>
      </c>
      <c r="S3" s="98">
        <v>99</v>
      </c>
      <c r="T3" s="39" t="s">
        <v>14</v>
      </c>
      <c r="U3" s="40"/>
      <c r="V3" s="18"/>
      <c r="W3" s="24"/>
      <c r="X3" s="320" t="s">
        <v>1137</v>
      </c>
      <c r="Y3" s="357"/>
      <c r="Z3" s="357"/>
      <c r="AA3" s="357"/>
      <c r="AB3" s="357"/>
      <c r="AC3" s="357"/>
      <c r="AD3" s="357"/>
      <c r="AE3" s="358"/>
      <c r="AF3" s="22"/>
    </row>
    <row r="4" spans="1:32" ht="15" customHeight="1" thickTop="1" x14ac:dyDescent="0.25">
      <c r="B4" s="41"/>
      <c r="C4" s="42">
        <v>480</v>
      </c>
      <c r="D4" s="141">
        <f t="shared" ref="D4:F19" si="0">IF(D$3=0,0,D$3*2+$C4*0.0015+($P$22*(D$3/100)-($C$19/$C$19*10)+$C4/$C$19*10)*$T4)</f>
        <v>0</v>
      </c>
      <c r="E4" s="142">
        <f t="shared" si="0"/>
        <v>10.72</v>
      </c>
      <c r="F4" s="143">
        <f t="shared" si="0"/>
        <v>20.72</v>
      </c>
      <c r="G4" s="43">
        <f t="shared" ref="G4:S13" si="1">($P$22*(G$3/100)-($C$19/$C$19*10)+$C4/$C$19*10)+($P$22*(G$3/100)-($C$19/$C$19*10)+$C4/$C$19*10)*G$20+($P$22*(G$3/100)-($C$19/$C$19*10)+$C4/$C$19*10)*$T4</f>
        <v>21.305600000000002</v>
      </c>
      <c r="H4" s="43">
        <f t="shared" si="1"/>
        <v>25.724914285714291</v>
      </c>
      <c r="I4" s="43">
        <f t="shared" si="1"/>
        <v>31.554285714285719</v>
      </c>
      <c r="J4" s="43">
        <f t="shared" si="1"/>
        <v>39.722285714285718</v>
      </c>
      <c r="K4" s="43">
        <f t="shared" si="1"/>
        <v>47.890285714285717</v>
      </c>
      <c r="L4" s="43">
        <f t="shared" si="1"/>
        <v>56.058285714285724</v>
      </c>
      <c r="M4" s="43">
        <f t="shared" si="1"/>
        <v>72.394285714285715</v>
      </c>
      <c r="N4" s="43">
        <f t="shared" si="1"/>
        <v>88.730285714285714</v>
      </c>
      <c r="O4" s="43">
        <f t="shared" si="1"/>
        <v>105.06628571428571</v>
      </c>
      <c r="P4" s="43">
        <f t="shared" si="1"/>
        <v>113.23428571428572</v>
      </c>
      <c r="Q4" s="43">
        <f t="shared" si="1"/>
        <v>121.40228571428572</v>
      </c>
      <c r="R4" s="43">
        <f t="shared" si="1"/>
        <v>129.57028571428572</v>
      </c>
      <c r="S4" s="43">
        <f t="shared" si="1"/>
        <v>152.44068571428573</v>
      </c>
      <c r="T4" s="44">
        <v>0</v>
      </c>
      <c r="U4" s="45"/>
      <c r="W4" s="24"/>
      <c r="X4" s="299"/>
      <c r="Y4" s="359"/>
      <c r="Z4" s="359"/>
      <c r="AA4" s="359"/>
      <c r="AB4" s="359"/>
      <c r="AC4" s="359"/>
      <c r="AD4" s="359"/>
      <c r="AE4" s="360"/>
      <c r="AF4" s="22"/>
    </row>
    <row r="5" spans="1:32" ht="15" customHeight="1" x14ac:dyDescent="0.25">
      <c r="B5" s="41"/>
      <c r="C5" s="46">
        <v>720</v>
      </c>
      <c r="D5" s="144">
        <f t="shared" si="0"/>
        <v>0</v>
      </c>
      <c r="E5" s="145">
        <f t="shared" si="0"/>
        <v>11.08</v>
      </c>
      <c r="F5" s="146">
        <f t="shared" si="0"/>
        <v>21.08</v>
      </c>
      <c r="G5" s="43">
        <f t="shared" si="1"/>
        <v>21.805600000000002</v>
      </c>
      <c r="H5" s="43">
        <f t="shared" si="1"/>
        <v>26.117771428571434</v>
      </c>
      <c r="I5" s="43">
        <f t="shared" si="1"/>
        <v>31.911428571428576</v>
      </c>
      <c r="J5" s="43">
        <f t="shared" si="1"/>
        <v>40.079428571428572</v>
      </c>
      <c r="K5" s="43">
        <f t="shared" si="1"/>
        <v>48.247428571428571</v>
      </c>
      <c r="L5" s="43">
        <f t="shared" si="1"/>
        <v>56.415428571428578</v>
      </c>
      <c r="M5" s="43">
        <f t="shared" si="1"/>
        <v>72.751428571428576</v>
      </c>
      <c r="N5" s="43">
        <f t="shared" si="1"/>
        <v>89.087428571428575</v>
      </c>
      <c r="O5" s="43">
        <f t="shared" si="1"/>
        <v>105.42342857142857</v>
      </c>
      <c r="P5" s="43">
        <f t="shared" si="1"/>
        <v>113.59142857142858</v>
      </c>
      <c r="Q5" s="43">
        <f t="shared" si="1"/>
        <v>121.75942857142859</v>
      </c>
      <c r="R5" s="43">
        <f t="shared" si="1"/>
        <v>129.92742857142858</v>
      </c>
      <c r="S5" s="43">
        <f t="shared" si="1"/>
        <v>152.7978285714286</v>
      </c>
      <c r="T5" s="47">
        <v>0</v>
      </c>
      <c r="U5" s="45"/>
      <c r="W5" s="24"/>
      <c r="X5" s="299"/>
      <c r="Y5" s="359"/>
      <c r="Z5" s="359"/>
      <c r="AA5" s="359"/>
      <c r="AB5" s="359"/>
      <c r="AC5" s="359"/>
      <c r="AD5" s="359"/>
      <c r="AE5" s="360"/>
      <c r="AF5" s="22"/>
    </row>
    <row r="6" spans="1:32" ht="15" customHeight="1" x14ac:dyDescent="0.25">
      <c r="B6" s="41"/>
      <c r="C6" s="46">
        <v>1000</v>
      </c>
      <c r="D6" s="144">
        <f t="shared" si="0"/>
        <v>0</v>
      </c>
      <c r="E6" s="145">
        <f t="shared" si="0"/>
        <v>11.5</v>
      </c>
      <c r="F6" s="146">
        <f t="shared" si="0"/>
        <v>21.5</v>
      </c>
      <c r="G6" s="43">
        <f t="shared" si="1"/>
        <v>22.388933333333334</v>
      </c>
      <c r="H6" s="43">
        <f t="shared" si="1"/>
        <v>26.576104761904766</v>
      </c>
      <c r="I6" s="43">
        <f t="shared" si="1"/>
        <v>32.328095238095244</v>
      </c>
      <c r="J6" s="43">
        <f t="shared" si="1"/>
        <v>40.496095238095243</v>
      </c>
      <c r="K6" s="43">
        <f t="shared" si="1"/>
        <v>48.664095238095243</v>
      </c>
      <c r="L6" s="43">
        <f t="shared" si="1"/>
        <v>56.832095238095249</v>
      </c>
      <c r="M6" s="43">
        <f t="shared" si="1"/>
        <v>73.168095238095248</v>
      </c>
      <c r="N6" s="43">
        <f t="shared" si="1"/>
        <v>89.504095238095246</v>
      </c>
      <c r="O6" s="43">
        <f t="shared" si="1"/>
        <v>105.84009523809524</v>
      </c>
      <c r="P6" s="43">
        <f t="shared" si="1"/>
        <v>114.00809523809525</v>
      </c>
      <c r="Q6" s="43">
        <f t="shared" si="1"/>
        <v>122.17609523809526</v>
      </c>
      <c r="R6" s="43">
        <f t="shared" si="1"/>
        <v>130.34409523809524</v>
      </c>
      <c r="S6" s="43">
        <f t="shared" si="1"/>
        <v>153.21449523809525</v>
      </c>
      <c r="T6" s="47">
        <v>0</v>
      </c>
      <c r="U6" s="45"/>
      <c r="W6" s="24"/>
      <c r="X6" s="299"/>
      <c r="Y6" s="359"/>
      <c r="Z6" s="359"/>
      <c r="AA6" s="359"/>
      <c r="AB6" s="359"/>
      <c r="AC6" s="359"/>
      <c r="AD6" s="359"/>
      <c r="AE6" s="360"/>
      <c r="AF6" s="22"/>
    </row>
    <row r="7" spans="1:32" ht="15" customHeight="1" x14ac:dyDescent="0.25">
      <c r="B7" s="41"/>
      <c r="C7" s="46">
        <v>1240</v>
      </c>
      <c r="D7" s="144">
        <f t="shared" si="0"/>
        <v>0</v>
      </c>
      <c r="E7" s="145">
        <f t="shared" si="0"/>
        <v>11.860066190476189</v>
      </c>
      <c r="F7" s="146">
        <f t="shared" si="0"/>
        <v>21.900906190476189</v>
      </c>
      <c r="G7" s="43">
        <f t="shared" si="1"/>
        <v>22.970679523809526</v>
      </c>
      <c r="H7" s="43">
        <f t="shared" si="1"/>
        <v>27.0915480952381</v>
      </c>
      <c r="I7" s="43">
        <f t="shared" si="1"/>
        <v>32.848664285714285</v>
      </c>
      <c r="J7" s="43">
        <f t="shared" si="1"/>
        <v>41.057504285714288</v>
      </c>
      <c r="K7" s="43">
        <f t="shared" si="1"/>
        <v>49.26634428571429</v>
      </c>
      <c r="L7" s="43">
        <f t="shared" si="1"/>
        <v>57.475184285714292</v>
      </c>
      <c r="M7" s="43">
        <f t="shared" si="1"/>
        <v>73.892864285714296</v>
      </c>
      <c r="N7" s="43">
        <f t="shared" si="1"/>
        <v>90.3105442857143</v>
      </c>
      <c r="O7" s="43">
        <f t="shared" si="1"/>
        <v>106.72822428571429</v>
      </c>
      <c r="P7" s="43">
        <f t="shared" si="1"/>
        <v>114.9370642857143</v>
      </c>
      <c r="Q7" s="43">
        <f t="shared" si="1"/>
        <v>123.14590428571431</v>
      </c>
      <c r="R7" s="43">
        <f t="shared" si="1"/>
        <v>131.35474428571428</v>
      </c>
      <c r="S7" s="43">
        <f t="shared" si="1"/>
        <v>154.33949628571432</v>
      </c>
      <c r="T7" s="47">
        <v>5.0000000000000001E-3</v>
      </c>
      <c r="U7" s="45"/>
      <c r="W7" s="24"/>
      <c r="X7" s="299"/>
      <c r="Y7" s="359"/>
      <c r="Z7" s="359"/>
      <c r="AA7" s="359"/>
      <c r="AB7" s="359"/>
      <c r="AC7" s="359"/>
      <c r="AD7" s="359"/>
      <c r="AE7" s="360"/>
      <c r="AF7" s="22"/>
    </row>
    <row r="8" spans="1:32" ht="15" customHeight="1" x14ac:dyDescent="0.25">
      <c r="B8" s="41"/>
      <c r="C8" s="46">
        <v>1520</v>
      </c>
      <c r="D8" s="144">
        <f t="shared" si="0"/>
        <v>0</v>
      </c>
      <c r="E8" s="145">
        <f t="shared" si="0"/>
        <v>12.284299047619049</v>
      </c>
      <c r="F8" s="146">
        <f t="shared" si="0"/>
        <v>22.365979047619049</v>
      </c>
      <c r="G8" s="43">
        <f t="shared" si="1"/>
        <v>23.639925714285717</v>
      </c>
      <c r="H8" s="43">
        <f t="shared" si="1"/>
        <v>27.676634285714293</v>
      </c>
      <c r="I8" s="43">
        <f t="shared" si="1"/>
        <v>33.432923809523807</v>
      </c>
      <c r="J8" s="43">
        <f t="shared" si="1"/>
        <v>41.682603809523812</v>
      </c>
      <c r="K8" s="43">
        <f t="shared" si="1"/>
        <v>49.93228380952381</v>
      </c>
      <c r="L8" s="43">
        <f t="shared" si="1"/>
        <v>58.181963809523815</v>
      </c>
      <c r="M8" s="43">
        <f t="shared" si="1"/>
        <v>74.681323809523818</v>
      </c>
      <c r="N8" s="43">
        <f t="shared" si="1"/>
        <v>91.180683809523813</v>
      </c>
      <c r="O8" s="43">
        <f t="shared" si="1"/>
        <v>107.68004380952381</v>
      </c>
      <c r="P8" s="43">
        <f t="shared" si="1"/>
        <v>115.92972380952382</v>
      </c>
      <c r="Q8" s="43">
        <f t="shared" si="1"/>
        <v>124.17940380952382</v>
      </c>
      <c r="R8" s="43">
        <f t="shared" si="1"/>
        <v>132.4290838095238</v>
      </c>
      <c r="S8" s="43">
        <f t="shared" si="1"/>
        <v>155.52818780952381</v>
      </c>
      <c r="T8" s="47">
        <v>0.01</v>
      </c>
      <c r="U8" s="41"/>
      <c r="W8" s="24"/>
      <c r="X8" s="299"/>
      <c r="Y8" s="359"/>
      <c r="Z8" s="359"/>
      <c r="AA8" s="359"/>
      <c r="AB8" s="359"/>
      <c r="AC8" s="359"/>
      <c r="AD8" s="359"/>
      <c r="AE8" s="360"/>
      <c r="AF8" s="22"/>
    </row>
    <row r="9" spans="1:32" ht="15" customHeight="1" x14ac:dyDescent="0.25">
      <c r="B9" s="41"/>
      <c r="C9" s="46">
        <v>1760</v>
      </c>
      <c r="D9" s="144">
        <f t="shared" si="0"/>
        <v>0</v>
      </c>
      <c r="E9" s="145">
        <f t="shared" si="0"/>
        <v>12.651805714285715</v>
      </c>
      <c r="F9" s="146">
        <f t="shared" si="0"/>
        <v>22.774325714285716</v>
      </c>
      <c r="G9" s="43">
        <f t="shared" si="1"/>
        <v>24.229112380952383</v>
      </c>
      <c r="H9" s="43">
        <f t="shared" si="1"/>
        <v>28.199518095238101</v>
      </c>
      <c r="I9" s="43">
        <f t="shared" si="1"/>
        <v>33.960933333333337</v>
      </c>
      <c r="J9" s="43">
        <f t="shared" si="1"/>
        <v>42.251453333333338</v>
      </c>
      <c r="K9" s="43">
        <f t="shared" si="1"/>
        <v>50.541973333333338</v>
      </c>
      <c r="L9" s="43">
        <f t="shared" si="1"/>
        <v>58.832493333333346</v>
      </c>
      <c r="M9" s="43">
        <f t="shared" si="1"/>
        <v>75.413533333333348</v>
      </c>
      <c r="N9" s="43">
        <f t="shared" si="1"/>
        <v>91.994573333333335</v>
      </c>
      <c r="O9" s="43">
        <f t="shared" si="1"/>
        <v>108.57561333333334</v>
      </c>
      <c r="P9" s="43">
        <f t="shared" si="1"/>
        <v>116.86613333333335</v>
      </c>
      <c r="Q9" s="43">
        <f t="shared" si="1"/>
        <v>125.15665333333335</v>
      </c>
      <c r="R9" s="43">
        <f t="shared" si="1"/>
        <v>133.44717333333332</v>
      </c>
      <c r="S9" s="43">
        <f t="shared" si="1"/>
        <v>156.66062933333336</v>
      </c>
      <c r="T9" s="47">
        <v>1.4999999999999999E-2</v>
      </c>
      <c r="U9" s="41"/>
      <c r="W9" s="24"/>
      <c r="X9" s="299"/>
      <c r="Y9" s="359"/>
      <c r="Z9" s="359"/>
      <c r="AA9" s="359"/>
      <c r="AB9" s="359"/>
      <c r="AC9" s="359"/>
      <c r="AD9" s="359"/>
      <c r="AE9" s="360"/>
      <c r="AF9" s="22"/>
    </row>
    <row r="10" spans="1:32" x14ac:dyDescent="0.25">
      <c r="B10" s="41"/>
      <c r="C10" s="46">
        <v>2000</v>
      </c>
      <c r="D10" s="144">
        <f t="shared" si="0"/>
        <v>0</v>
      </c>
      <c r="E10" s="145">
        <f t="shared" si="0"/>
        <v>13.028604761904761</v>
      </c>
      <c r="F10" s="146">
        <f t="shared" si="0"/>
        <v>23.232804761904763</v>
      </c>
      <c r="G10" s="43">
        <f t="shared" si="1"/>
        <v>24.909271428571433</v>
      </c>
      <c r="H10" s="43">
        <f t="shared" si="1"/>
        <v>28.854214285714288</v>
      </c>
      <c r="I10" s="43">
        <f t="shared" si="1"/>
        <v>34.661595238095238</v>
      </c>
      <c r="J10" s="43">
        <f t="shared" si="1"/>
        <v>43.033795238095237</v>
      </c>
      <c r="K10" s="43">
        <f t="shared" si="1"/>
        <v>51.405995238095237</v>
      </c>
      <c r="L10" s="43">
        <f t="shared" si="1"/>
        <v>59.778195238095243</v>
      </c>
      <c r="M10" s="43">
        <f t="shared" si="1"/>
        <v>76.522595238095249</v>
      </c>
      <c r="N10" s="43">
        <f t="shared" si="1"/>
        <v>93.266995238095248</v>
      </c>
      <c r="O10" s="43">
        <f t="shared" si="1"/>
        <v>110.01139523809525</v>
      </c>
      <c r="P10" s="43">
        <f t="shared" si="1"/>
        <v>118.38359523809525</v>
      </c>
      <c r="Q10" s="43">
        <f t="shared" si="1"/>
        <v>126.75579523809526</v>
      </c>
      <c r="R10" s="43">
        <f t="shared" si="1"/>
        <v>135.12799523809525</v>
      </c>
      <c r="S10" s="43">
        <f t="shared" si="1"/>
        <v>158.57015523809525</v>
      </c>
      <c r="T10" s="47">
        <v>2.5000000000000001E-2</v>
      </c>
      <c r="U10" s="41"/>
      <c r="W10" s="24"/>
      <c r="X10" s="326" t="s">
        <v>0</v>
      </c>
      <c r="Y10" s="361"/>
      <c r="Z10" s="361"/>
      <c r="AA10" s="361"/>
      <c r="AB10" s="361"/>
      <c r="AC10" s="361"/>
      <c r="AD10" s="361"/>
      <c r="AE10" s="362"/>
      <c r="AF10" s="22"/>
    </row>
    <row r="11" spans="1:32" x14ac:dyDescent="0.25">
      <c r="B11" s="41"/>
      <c r="C11" s="46">
        <v>2520</v>
      </c>
      <c r="D11" s="144">
        <f t="shared" si="0"/>
        <v>0</v>
      </c>
      <c r="E11" s="145">
        <f t="shared" si="0"/>
        <v>13.835622000000001</v>
      </c>
      <c r="F11" s="146">
        <f t="shared" si="0"/>
        <v>24.072494000000003</v>
      </c>
      <c r="G11" s="43">
        <f t="shared" si="1"/>
        <v>26.084966000000001</v>
      </c>
      <c r="H11" s="43">
        <f t="shared" si="1"/>
        <v>29.830438000000008</v>
      </c>
      <c r="I11" s="43">
        <f t="shared" si="1"/>
        <v>35.593110000000003</v>
      </c>
      <c r="J11" s="43">
        <f t="shared" si="1"/>
        <v>43.997982</v>
      </c>
      <c r="K11" s="43">
        <f t="shared" si="1"/>
        <v>52.402854000000005</v>
      </c>
      <c r="L11" s="43">
        <f t="shared" si="1"/>
        <v>60.807726000000009</v>
      </c>
      <c r="M11" s="43">
        <f t="shared" si="1"/>
        <v>77.617470000000012</v>
      </c>
      <c r="N11" s="43">
        <f t="shared" si="1"/>
        <v>94.427214000000006</v>
      </c>
      <c r="O11" s="43">
        <f t="shared" si="1"/>
        <v>111.236958</v>
      </c>
      <c r="P11" s="43">
        <f t="shared" si="1"/>
        <v>119.64183000000001</v>
      </c>
      <c r="Q11" s="43">
        <f t="shared" si="1"/>
        <v>128.04670200000001</v>
      </c>
      <c r="R11" s="43">
        <f t="shared" si="1"/>
        <v>136.45157399999999</v>
      </c>
      <c r="S11" s="43">
        <f t="shared" si="1"/>
        <v>159.9852156</v>
      </c>
      <c r="T11" s="47">
        <v>2.9000000000000001E-2</v>
      </c>
      <c r="U11" s="41"/>
      <c r="W11" s="24"/>
      <c r="X11" s="363"/>
      <c r="Y11" s="364"/>
      <c r="Z11" s="364"/>
      <c r="AA11" s="364"/>
      <c r="AB11" s="364"/>
      <c r="AC11" s="364"/>
      <c r="AD11" s="364"/>
      <c r="AE11" s="365"/>
      <c r="AF11" s="22"/>
    </row>
    <row r="12" spans="1:32" x14ac:dyDescent="0.25">
      <c r="B12" s="41"/>
      <c r="C12" s="46">
        <v>3000</v>
      </c>
      <c r="D12" s="144">
        <f t="shared" si="0"/>
        <v>0</v>
      </c>
      <c r="E12" s="145">
        <f t="shared" si="0"/>
        <v>14.571071714285715</v>
      </c>
      <c r="F12" s="146">
        <f t="shared" si="0"/>
        <v>24.791607714285714</v>
      </c>
      <c r="G12" s="43">
        <f t="shared" si="1"/>
        <v>27.067743714285719</v>
      </c>
      <c r="H12" s="43">
        <f t="shared" si="1"/>
        <v>30.582594000000007</v>
      </c>
      <c r="I12" s="43">
        <f t="shared" si="1"/>
        <v>36.25750142857143</v>
      </c>
      <c r="J12" s="43">
        <f t="shared" si="1"/>
        <v>44.646037428571432</v>
      </c>
      <c r="K12" s="43">
        <f t="shared" si="1"/>
        <v>53.034573428571434</v>
      </c>
      <c r="L12" s="43">
        <f t="shared" si="1"/>
        <v>61.423109428571436</v>
      </c>
      <c r="M12" s="43">
        <f t="shared" si="1"/>
        <v>78.200181428571426</v>
      </c>
      <c r="N12" s="43">
        <f t="shared" si="1"/>
        <v>94.97725342857143</v>
      </c>
      <c r="O12" s="43">
        <f t="shared" si="1"/>
        <v>111.75432542857142</v>
      </c>
      <c r="P12" s="43">
        <f t="shared" si="1"/>
        <v>120.14286142857144</v>
      </c>
      <c r="Q12" s="43">
        <f t="shared" si="1"/>
        <v>128.53139742857144</v>
      </c>
      <c r="R12" s="43">
        <f t="shared" si="1"/>
        <v>136.91993342857143</v>
      </c>
      <c r="S12" s="43">
        <f t="shared" si="1"/>
        <v>160.40783422857146</v>
      </c>
      <c r="T12" s="47">
        <v>2.7E-2</v>
      </c>
      <c r="U12" s="41"/>
      <c r="W12" s="22"/>
      <c r="X12" s="22"/>
      <c r="Y12" s="22"/>
      <c r="Z12" s="22"/>
      <c r="AA12" s="22"/>
      <c r="AB12" s="22"/>
      <c r="AC12" s="22"/>
      <c r="AD12" s="22"/>
      <c r="AE12" s="22"/>
      <c r="AF12" s="22"/>
    </row>
    <row r="13" spans="1:32" x14ac:dyDescent="0.25">
      <c r="B13" s="41"/>
      <c r="C13" s="46">
        <v>3520</v>
      </c>
      <c r="D13" s="144">
        <f t="shared" si="0"/>
        <v>0</v>
      </c>
      <c r="E13" s="145">
        <f t="shared" si="0"/>
        <v>15.365152380952383</v>
      </c>
      <c r="F13" s="146">
        <f t="shared" si="0"/>
        <v>25.569352380952381</v>
      </c>
      <c r="G13" s="43">
        <f t="shared" si="1"/>
        <v>28.132485714285714</v>
      </c>
      <c r="H13" s="43">
        <f t="shared" si="1"/>
        <v>31.398857142857146</v>
      </c>
      <c r="I13" s="43">
        <f t="shared" si="1"/>
        <v>36.980047619047625</v>
      </c>
      <c r="J13" s="43">
        <f t="shared" si="1"/>
        <v>45.352247619047624</v>
      </c>
      <c r="K13" s="43">
        <f t="shared" si="1"/>
        <v>53.724447619047623</v>
      </c>
      <c r="L13" s="43">
        <f t="shared" si="1"/>
        <v>62.09664761904763</v>
      </c>
      <c r="M13" s="43">
        <f t="shared" si="1"/>
        <v>78.841047619047629</v>
      </c>
      <c r="N13" s="43">
        <f t="shared" si="1"/>
        <v>95.585447619047628</v>
      </c>
      <c r="O13" s="43">
        <f t="shared" si="1"/>
        <v>112.32984761904763</v>
      </c>
      <c r="P13" s="43">
        <f t="shared" si="1"/>
        <v>120.70204761904763</v>
      </c>
      <c r="Q13" s="43">
        <f t="shared" si="1"/>
        <v>129.07424761904764</v>
      </c>
      <c r="R13" s="43">
        <f t="shared" si="1"/>
        <v>137.4464476190476</v>
      </c>
      <c r="S13" s="43">
        <f t="shared" si="1"/>
        <v>160.88860761904763</v>
      </c>
      <c r="T13" s="47">
        <v>2.5000000000000001E-2</v>
      </c>
      <c r="U13" s="41"/>
      <c r="W13" s="22"/>
      <c r="X13" s="48"/>
      <c r="Y13" s="48"/>
      <c r="Z13" s="22"/>
      <c r="AA13" s="22"/>
      <c r="AB13" s="22"/>
      <c r="AC13" s="22"/>
      <c r="AD13" s="22"/>
      <c r="AE13" s="22"/>
      <c r="AF13" s="22"/>
    </row>
    <row r="14" spans="1:32" x14ac:dyDescent="0.25">
      <c r="B14" s="41"/>
      <c r="C14" s="46">
        <v>4000</v>
      </c>
      <c r="D14" s="144">
        <f t="shared" si="0"/>
        <v>0</v>
      </c>
      <c r="E14" s="145">
        <f t="shared" si="0"/>
        <v>16.082407619047618</v>
      </c>
      <c r="F14" s="146">
        <f t="shared" si="0"/>
        <v>26.245767619047619</v>
      </c>
      <c r="G14" s="43">
        <f t="shared" ref="G14:S19" si="2">($P$22*(G$3/100)-($C$19/$C$19*10)+$C14/$C$19*10)+($P$22*(G$3/100)-($C$19/$C$19*10)+$C14/$C$19*10)*G$20+($P$22*(G$3/100)-($C$19/$C$19*10)+$C14/$C$19*10)*$T14</f>
        <v>29.048060952380954</v>
      </c>
      <c r="H14" s="43">
        <f t="shared" si="2"/>
        <v>32.059306666666672</v>
      </c>
      <c r="I14" s="43">
        <f t="shared" si="2"/>
        <v>37.528228571428571</v>
      </c>
      <c r="J14" s="43">
        <f t="shared" si="2"/>
        <v>45.859588571428581</v>
      </c>
      <c r="K14" s="43">
        <f t="shared" si="2"/>
        <v>54.190948571428571</v>
      </c>
      <c r="L14" s="43">
        <f t="shared" si="2"/>
        <v>62.522308571428574</v>
      </c>
      <c r="M14" s="43">
        <f t="shared" si="2"/>
        <v>79.185028571428575</v>
      </c>
      <c r="N14" s="43">
        <f t="shared" si="2"/>
        <v>95.847748571428568</v>
      </c>
      <c r="O14" s="43">
        <f t="shared" si="2"/>
        <v>112.51046857142858</v>
      </c>
      <c r="P14" s="43">
        <f t="shared" si="2"/>
        <v>120.84182857142858</v>
      </c>
      <c r="Q14" s="43">
        <f t="shared" si="2"/>
        <v>129.1731885714286</v>
      </c>
      <c r="R14" s="43">
        <f t="shared" si="2"/>
        <v>137.50454857142859</v>
      </c>
      <c r="S14" s="43">
        <f t="shared" si="2"/>
        <v>160.83235657142859</v>
      </c>
      <c r="T14" s="47">
        <v>0.02</v>
      </c>
      <c r="U14" s="41"/>
      <c r="W14" s="22"/>
      <c r="X14" s="366"/>
      <c r="Y14" s="367"/>
      <c r="Z14" s="32" t="s">
        <v>2</v>
      </c>
      <c r="AA14" s="330" t="s">
        <v>1</v>
      </c>
      <c r="AB14" s="330"/>
      <c r="AC14" s="330"/>
      <c r="AD14" s="330"/>
      <c r="AE14" s="330"/>
      <c r="AF14" s="22"/>
    </row>
    <row r="15" spans="1:32" x14ac:dyDescent="0.25">
      <c r="B15" s="41"/>
      <c r="C15" s="46">
        <v>4520</v>
      </c>
      <c r="D15" s="144">
        <f t="shared" si="0"/>
        <v>0</v>
      </c>
      <c r="E15" s="145">
        <f t="shared" si="0"/>
        <v>16.853412857142857</v>
      </c>
      <c r="F15" s="146">
        <f t="shared" si="0"/>
        <v>26.975932857142858</v>
      </c>
      <c r="G15" s="43">
        <f t="shared" si="2"/>
        <v>30.040719523809528</v>
      </c>
      <c r="H15" s="43">
        <f t="shared" si="2"/>
        <v>32.778982380952385</v>
      </c>
      <c r="I15" s="43">
        <f t="shared" si="2"/>
        <v>38.129683333333332</v>
      </c>
      <c r="J15" s="43">
        <f t="shared" si="2"/>
        <v>46.420203333333333</v>
      </c>
      <c r="K15" s="43">
        <f t="shared" si="2"/>
        <v>54.710723333333334</v>
      </c>
      <c r="L15" s="43">
        <f t="shared" si="2"/>
        <v>63.001243333333342</v>
      </c>
      <c r="M15" s="43">
        <f t="shared" si="2"/>
        <v>79.582283333333351</v>
      </c>
      <c r="N15" s="43">
        <f t="shared" si="2"/>
        <v>96.163323333333338</v>
      </c>
      <c r="O15" s="43">
        <f t="shared" si="2"/>
        <v>112.74436333333334</v>
      </c>
      <c r="P15" s="43">
        <f t="shared" si="2"/>
        <v>121.03488333333335</v>
      </c>
      <c r="Q15" s="43">
        <f t="shared" si="2"/>
        <v>129.32540333333336</v>
      </c>
      <c r="R15" s="43">
        <f t="shared" si="2"/>
        <v>137.61592333333334</v>
      </c>
      <c r="S15" s="43">
        <f t="shared" si="2"/>
        <v>160.82937933333335</v>
      </c>
      <c r="T15" s="47">
        <v>1.4999999999999999E-2</v>
      </c>
      <c r="U15" s="41"/>
      <c r="W15" s="22"/>
      <c r="X15" s="22"/>
      <c r="Y15" s="22"/>
      <c r="Z15" s="22"/>
      <c r="AA15" s="22"/>
      <c r="AB15" s="22"/>
      <c r="AC15" s="22"/>
      <c r="AD15" s="22"/>
      <c r="AE15" s="22"/>
      <c r="AF15" s="22"/>
    </row>
    <row r="16" spans="1:32" x14ac:dyDescent="0.25">
      <c r="B16" s="41"/>
      <c r="C16" s="46">
        <v>5000</v>
      </c>
      <c r="D16" s="144">
        <f t="shared" si="0"/>
        <v>0</v>
      </c>
      <c r="E16" s="145">
        <f t="shared" si="0"/>
        <v>17.359788095238095</v>
      </c>
      <c r="F16" s="146">
        <f t="shared" si="0"/>
        <v>27.155588095238095</v>
      </c>
      <c r="G16" s="43">
        <f t="shared" si="2"/>
        <v>30.173654761904764</v>
      </c>
      <c r="H16" s="43">
        <f t="shared" si="2"/>
        <v>32.370911904761904</v>
      </c>
      <c r="I16" s="43">
        <f t="shared" si="2"/>
        <v>37.323464285714287</v>
      </c>
      <c r="J16" s="43">
        <f t="shared" si="2"/>
        <v>45.287264285714286</v>
      </c>
      <c r="K16" s="43">
        <f t="shared" si="2"/>
        <v>53.251064285714286</v>
      </c>
      <c r="L16" s="43">
        <f t="shared" si="2"/>
        <v>61.214864285714292</v>
      </c>
      <c r="M16" s="43">
        <f t="shared" si="2"/>
        <v>77.142464285714297</v>
      </c>
      <c r="N16" s="43">
        <f t="shared" si="2"/>
        <v>93.070064285714295</v>
      </c>
      <c r="O16" s="43">
        <f t="shared" si="2"/>
        <v>108.99766428571429</v>
      </c>
      <c r="P16" s="43">
        <f t="shared" si="2"/>
        <v>116.9614642857143</v>
      </c>
      <c r="Q16" s="43">
        <f t="shared" si="2"/>
        <v>124.92526428571432</v>
      </c>
      <c r="R16" s="43">
        <f t="shared" si="2"/>
        <v>132.88906428571428</v>
      </c>
      <c r="S16" s="43">
        <f t="shared" si="2"/>
        <v>155.18770428571432</v>
      </c>
      <c r="T16" s="47">
        <v>-2.5000000000000001E-2</v>
      </c>
      <c r="U16" s="41"/>
    </row>
    <row r="17" spans="2:27" x14ac:dyDescent="0.25">
      <c r="B17" s="41"/>
      <c r="C17" s="46">
        <v>5720</v>
      </c>
      <c r="D17" s="144">
        <f t="shared" si="0"/>
        <v>0</v>
      </c>
      <c r="E17" s="145">
        <f t="shared" si="0"/>
        <v>18.07900714285714</v>
      </c>
      <c r="F17" s="146">
        <f t="shared" si="0"/>
        <v>27.46640714285714</v>
      </c>
      <c r="G17" s="43">
        <f t="shared" si="2"/>
        <v>30.496073809523814</v>
      </c>
      <c r="H17" s="43">
        <f t="shared" si="2"/>
        <v>31.963502380952384</v>
      </c>
      <c r="I17" s="43">
        <f t="shared" si="2"/>
        <v>36.400511904761906</v>
      </c>
      <c r="J17" s="43">
        <f t="shared" si="2"/>
        <v>43.955911904761905</v>
      </c>
      <c r="K17" s="43">
        <f t="shared" si="2"/>
        <v>51.511311904761904</v>
      </c>
      <c r="L17" s="43">
        <f t="shared" si="2"/>
        <v>59.06671190476191</v>
      </c>
      <c r="M17" s="43">
        <f t="shared" si="2"/>
        <v>74.177511904761914</v>
      </c>
      <c r="N17" s="43">
        <f t="shared" si="2"/>
        <v>89.288311904761912</v>
      </c>
      <c r="O17" s="43">
        <f t="shared" si="2"/>
        <v>104.39911190476191</v>
      </c>
      <c r="P17" s="43">
        <f t="shared" si="2"/>
        <v>111.95451190476192</v>
      </c>
      <c r="Q17" s="43">
        <f t="shared" si="2"/>
        <v>119.50991190476192</v>
      </c>
      <c r="R17" s="43">
        <f t="shared" si="2"/>
        <v>127.0653119047619</v>
      </c>
      <c r="S17" s="43">
        <f t="shared" si="2"/>
        <v>148.22043190476191</v>
      </c>
      <c r="T17" s="47">
        <v>-7.4999999999999997E-2</v>
      </c>
      <c r="U17" s="41"/>
    </row>
    <row r="18" spans="2:27" x14ac:dyDescent="0.25">
      <c r="B18" s="41"/>
      <c r="C18" s="46">
        <v>6000</v>
      </c>
      <c r="D18" s="144">
        <f t="shared" si="0"/>
        <v>0</v>
      </c>
      <c r="E18" s="145">
        <f t="shared" si="0"/>
        <v>18.361308571428573</v>
      </c>
      <c r="F18" s="146">
        <f t="shared" si="0"/>
        <v>27.626188571428571</v>
      </c>
      <c r="G18" s="43">
        <f t="shared" si="2"/>
        <v>30.696668571428571</v>
      </c>
      <c r="H18" s="43">
        <f t="shared" si="2"/>
        <v>31.916577142857147</v>
      </c>
      <c r="I18" s="43">
        <f t="shared" si="2"/>
        <v>36.189400000000006</v>
      </c>
      <c r="J18" s="43">
        <f t="shared" si="2"/>
        <v>43.622280000000003</v>
      </c>
      <c r="K18" s="43">
        <f t="shared" si="2"/>
        <v>51.055160000000001</v>
      </c>
      <c r="L18" s="43">
        <f t="shared" si="2"/>
        <v>58.488040000000012</v>
      </c>
      <c r="M18" s="43">
        <f t="shared" si="2"/>
        <v>73.353800000000007</v>
      </c>
      <c r="N18" s="43">
        <f t="shared" si="2"/>
        <v>88.219560000000001</v>
      </c>
      <c r="O18" s="43">
        <f t="shared" si="2"/>
        <v>103.08532000000001</v>
      </c>
      <c r="P18" s="43">
        <f t="shared" si="2"/>
        <v>110.51820000000001</v>
      </c>
      <c r="Q18" s="43">
        <f t="shared" si="2"/>
        <v>117.95108</v>
      </c>
      <c r="R18" s="43">
        <f t="shared" si="2"/>
        <v>125.38395999999999</v>
      </c>
      <c r="S18" s="43">
        <f t="shared" si="2"/>
        <v>146.19602399999999</v>
      </c>
      <c r="T18" s="47">
        <v>-0.09</v>
      </c>
      <c r="U18" s="41"/>
    </row>
    <row r="19" spans="2:27" ht="15.75" thickBot="1" x14ac:dyDescent="0.3">
      <c r="B19" s="41"/>
      <c r="C19" s="49">
        <v>6720</v>
      </c>
      <c r="D19" s="147">
        <f t="shared" si="0"/>
        <v>0</v>
      </c>
      <c r="E19" s="148">
        <f t="shared" si="0"/>
        <v>19.018159999999998</v>
      </c>
      <c r="F19" s="149">
        <f t="shared" si="0"/>
        <v>27.956319999999998</v>
      </c>
      <c r="G19" s="43">
        <f t="shared" si="2"/>
        <v>31.120079999999998</v>
      </c>
      <c r="H19" s="43">
        <f t="shared" si="2"/>
        <v>31.691840000000006</v>
      </c>
      <c r="I19" s="43">
        <f t="shared" si="2"/>
        <v>35.530799999999999</v>
      </c>
      <c r="J19" s="43">
        <f t="shared" si="2"/>
        <v>42.636960000000002</v>
      </c>
      <c r="K19" s="43">
        <f t="shared" si="2"/>
        <v>49.743120000000005</v>
      </c>
      <c r="L19" s="43">
        <f t="shared" si="2"/>
        <v>56.849280000000007</v>
      </c>
      <c r="M19" s="43">
        <f t="shared" si="2"/>
        <v>71.061599999999999</v>
      </c>
      <c r="N19" s="43">
        <f t="shared" si="2"/>
        <v>85.273920000000004</v>
      </c>
      <c r="O19" s="43">
        <f t="shared" si="2"/>
        <v>99.486240000000009</v>
      </c>
      <c r="P19" s="43">
        <f t="shared" si="2"/>
        <v>106.59240000000001</v>
      </c>
      <c r="Q19" s="43">
        <f t="shared" si="2"/>
        <v>113.69856000000001</v>
      </c>
      <c r="R19" s="43">
        <f t="shared" si="2"/>
        <v>120.80472</v>
      </c>
      <c r="S19" s="43">
        <f t="shared" si="2"/>
        <v>140.70196800000002</v>
      </c>
      <c r="T19" s="50">
        <v>-0.13</v>
      </c>
      <c r="U19" s="41"/>
    </row>
    <row r="20" spans="2:27" ht="16.5" thickTop="1" thickBot="1" x14ac:dyDescent="0.3">
      <c r="B20" s="41"/>
      <c r="C20" s="51" t="s">
        <v>7</v>
      </c>
      <c r="D20" s="52">
        <v>0</v>
      </c>
      <c r="E20" s="53">
        <v>0</v>
      </c>
      <c r="F20" s="53">
        <v>0</v>
      </c>
      <c r="G20" s="53">
        <f>$P$26*0.8+0.4</f>
        <v>0.4</v>
      </c>
      <c r="H20" s="53">
        <f>$P$26*0.8+0.1</f>
        <v>0.1</v>
      </c>
      <c r="I20" s="53">
        <f>$P$26*1.1</f>
        <v>0</v>
      </c>
      <c r="J20" s="53">
        <f>$P$26*1.1</f>
        <v>0</v>
      </c>
      <c r="K20" s="53">
        <f>$P$26*0.9</f>
        <v>0</v>
      </c>
      <c r="L20" s="53">
        <f>$P$26*0.76</f>
        <v>0</v>
      </c>
      <c r="M20" s="53">
        <f>$P$26*0.48</f>
        <v>0</v>
      </c>
      <c r="N20" s="53">
        <f>$P$26*0.3</f>
        <v>0</v>
      </c>
      <c r="O20" s="53">
        <f>$P$26*0.18</f>
        <v>0</v>
      </c>
      <c r="P20" s="53">
        <f>$P$26*0.16</f>
        <v>0</v>
      </c>
      <c r="Q20" s="53">
        <f>$P$26*0.15</f>
        <v>0</v>
      </c>
      <c r="R20" s="53">
        <f>$P$26*0.12</f>
        <v>0</v>
      </c>
      <c r="S20" s="54">
        <f>$P$26*0.01</f>
        <v>0</v>
      </c>
      <c r="T20" s="41"/>
      <c r="U20" s="41"/>
      <c r="AA20" s="55"/>
    </row>
    <row r="21" spans="2:27" ht="16.5" thickTop="1" thickBot="1" x14ac:dyDescent="0.3">
      <c r="B21" s="56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57"/>
      <c r="T21" s="56"/>
      <c r="U21" s="56"/>
      <c r="Y21" s="55"/>
    </row>
    <row r="22" spans="2:27" x14ac:dyDescent="0.25">
      <c r="B22" s="58"/>
      <c r="C22" s="304" t="s">
        <v>17</v>
      </c>
      <c r="D22" s="304"/>
      <c r="E22" s="368"/>
      <c r="F22" s="219" t="s">
        <v>34</v>
      </c>
      <c r="G22" s="304" t="s">
        <v>3</v>
      </c>
      <c r="H22" s="304"/>
      <c r="I22" s="368"/>
      <c r="J22" s="218">
        <v>0.8</v>
      </c>
      <c r="K22" s="59" t="s">
        <v>12</v>
      </c>
      <c r="L22" s="48"/>
      <c r="M22" s="304" t="s">
        <v>4</v>
      </c>
      <c r="N22" s="304"/>
      <c r="O22" s="304"/>
      <c r="P22" s="60">
        <f>110+$J$22*66.7</f>
        <v>163.36000000000001</v>
      </c>
      <c r="Q22" s="61"/>
      <c r="R22" s="48"/>
      <c r="S22" s="48"/>
      <c r="T22" s="58"/>
      <c r="U22" s="58"/>
    </row>
    <row r="23" spans="2:27" x14ac:dyDescent="0.25">
      <c r="B23" s="58"/>
      <c r="C23" s="48"/>
      <c r="D23" s="48"/>
      <c r="E23" s="217"/>
      <c r="F23" s="48"/>
      <c r="G23" s="62"/>
      <c r="H23" s="62"/>
      <c r="I23" s="62"/>
      <c r="J23" s="48"/>
      <c r="K23" s="48"/>
      <c r="L23" s="48"/>
      <c r="M23" s="62"/>
      <c r="N23" s="62"/>
      <c r="O23" s="62"/>
      <c r="P23" s="48"/>
      <c r="Q23" s="48"/>
      <c r="R23" s="48"/>
      <c r="S23" s="48"/>
      <c r="T23" s="58"/>
      <c r="U23" s="58"/>
    </row>
    <row r="24" spans="2:27" x14ac:dyDescent="0.25">
      <c r="B24" s="58"/>
      <c r="C24" s="304" t="s">
        <v>1136</v>
      </c>
      <c r="D24" s="305"/>
      <c r="E24" s="373" t="s">
        <v>1138</v>
      </c>
      <c r="F24" s="374"/>
      <c r="G24" s="304" t="s">
        <v>11</v>
      </c>
      <c r="H24" s="304"/>
      <c r="I24" s="368"/>
      <c r="J24" s="370" t="s">
        <v>1139</v>
      </c>
      <c r="K24" s="371"/>
      <c r="L24" s="63"/>
      <c r="M24" s="304" t="s">
        <v>8</v>
      </c>
      <c r="N24" s="304"/>
      <c r="O24" s="304"/>
      <c r="P24" s="60">
        <f>MAX(D4:S19)</f>
        <v>160.88860761904763</v>
      </c>
      <c r="Q24" s="48"/>
      <c r="R24" s="48"/>
      <c r="S24" s="48"/>
      <c r="T24" s="58"/>
      <c r="U24" s="58"/>
    </row>
    <row r="25" spans="2:27" ht="15.75" thickBot="1" x14ac:dyDescent="0.3">
      <c r="B25" s="58"/>
      <c r="C25" s="48"/>
      <c r="D25" s="48"/>
      <c r="E25" s="48"/>
      <c r="F25" s="48"/>
      <c r="G25" s="62"/>
      <c r="H25" s="62"/>
      <c r="I25" s="62"/>
      <c r="J25" s="48"/>
      <c r="K25" s="48"/>
      <c r="L25" s="48"/>
      <c r="M25" s="62"/>
      <c r="N25" s="62"/>
      <c r="O25" s="62"/>
      <c r="P25" s="48"/>
      <c r="Q25" s="48"/>
      <c r="R25" s="48"/>
      <c r="S25" s="48"/>
      <c r="T25" s="58"/>
      <c r="U25" s="58"/>
    </row>
    <row r="26" spans="2:27" ht="15.75" thickTop="1" x14ac:dyDescent="0.25">
      <c r="B26" s="58"/>
      <c r="C26" s="48"/>
      <c r="D26" s="48"/>
      <c r="E26" s="48"/>
      <c r="F26" s="64"/>
      <c r="G26" s="304" t="s">
        <v>5</v>
      </c>
      <c r="H26" s="304"/>
      <c r="I26" s="368"/>
      <c r="J26" s="218">
        <v>0</v>
      </c>
      <c r="K26" s="59" t="s">
        <v>13</v>
      </c>
      <c r="L26" s="48"/>
      <c r="M26" s="304" t="s">
        <v>6</v>
      </c>
      <c r="N26" s="304"/>
      <c r="O26" s="304"/>
      <c r="P26" s="65">
        <f>IF($J$26&gt;135,1.35,IF($J$26&lt;0,0,$J$26/100))</f>
        <v>0</v>
      </c>
      <c r="Q26" s="63"/>
      <c r="R26" s="48"/>
      <c r="S26" s="48"/>
      <c r="T26" s="58"/>
      <c r="U26" s="58"/>
    </row>
    <row r="27" spans="2:27" x14ac:dyDescent="0.25">
      <c r="B27" s="58"/>
      <c r="C27" s="48"/>
      <c r="D27" s="48"/>
      <c r="E27" s="48"/>
      <c r="F27" s="48"/>
      <c r="G27" s="62"/>
      <c r="H27" s="369" t="s">
        <v>9</v>
      </c>
      <c r="I27" s="369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58"/>
      <c r="U27" s="58"/>
    </row>
    <row r="28" spans="2:27" x14ac:dyDescent="0.25">
      <c r="B28" s="58"/>
      <c r="C28" s="48"/>
      <c r="D28" s="48"/>
      <c r="E28" s="48"/>
      <c r="F28" s="48"/>
      <c r="G28" s="62"/>
      <c r="H28" s="62"/>
      <c r="I28" s="62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58"/>
      <c r="U28" s="58"/>
    </row>
  </sheetData>
  <sheetProtection algorithmName="SHA-512" hashValue="kVnl9GSZYpgLtdENhZZHninFmCID16SeIhM25nJHoytmzqAgU9Mnf0bE5bNk3artian9ezE8B7FivvkbevZ4GA==" saltValue="hCvOQOoDelLLXlJImPjZBg==" spinCount="100000" sheet="1" objects="1" scenarios="1"/>
  <mergeCells count="16">
    <mergeCell ref="H27:I27"/>
    <mergeCell ref="G24:I24"/>
    <mergeCell ref="J24:K24"/>
    <mergeCell ref="C22:E22"/>
    <mergeCell ref="B2:U2"/>
    <mergeCell ref="C24:D24"/>
    <mergeCell ref="E24:F24"/>
    <mergeCell ref="M24:O24"/>
    <mergeCell ref="G26:I26"/>
    <mergeCell ref="M26:O26"/>
    <mergeCell ref="X3:AE9"/>
    <mergeCell ref="X10:AE11"/>
    <mergeCell ref="X14:Y14"/>
    <mergeCell ref="AA14:AE14"/>
    <mergeCell ref="G22:I22"/>
    <mergeCell ref="M22:O22"/>
  </mergeCells>
  <conditionalFormatting sqref="G4:S19">
    <cfRule type="colorScale" priority="1">
      <colorScale>
        <cfvo type="num" val="0"/>
        <cfvo type="formula" val="$P$24/2"/>
        <cfvo type="num" val="$P$24"/>
        <color theme="6"/>
        <color theme="9" tint="0.79998168889431442"/>
        <color rgb="FFF9B277"/>
      </colorScale>
    </cfRule>
  </conditionalFormatting>
  <conditionalFormatting sqref="D4:F19">
    <cfRule type="colorScale" priority="2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3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4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5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6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7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8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9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0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1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2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3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4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</conditionalFormatting>
  <dataValidations count="8">
    <dataValidation type="decimal" showErrorMessage="1" errorTitle="Limits" error="This input is limited to 0 - 3 BAR" sqref="J22" xr:uid="{00000000-0002-0000-0700-000000000000}">
      <formula1>0</formula1>
      <formula2>3</formula2>
    </dataValidation>
    <dataValidation type="whole" showInputMessage="1" showErrorMessage="1" errorTitle="Limits" error="This input is limited to 0 - 135%" promptTitle="Limits" sqref="J26" xr:uid="{00000000-0002-0000-0700-000001000000}">
      <formula1>0</formula1>
      <formula2>135</formula2>
    </dataValidation>
    <dataValidation type="whole" showInputMessage="1" showErrorMessage="1" sqref="C4:C19" xr:uid="{00000000-0002-0000-0700-000002000000}">
      <formula1>0</formula1>
      <formula2>8000</formula2>
    </dataValidation>
    <dataValidation type="whole" showInputMessage="1" showErrorMessage="1" sqref="E3:R3" xr:uid="{00000000-0002-0000-0700-000003000000}">
      <formula1>1</formula1>
      <formula2>98</formula2>
    </dataValidation>
    <dataValidation type="whole" showInputMessage="1" showErrorMessage="1" sqref="D4:F19" xr:uid="{00000000-0002-0000-0700-000004000000}">
      <formula1>0</formula1>
      <formula2>$G4</formula2>
    </dataValidation>
    <dataValidation type="list" showInputMessage="1" showErrorMessage="1" sqref="E24:F24" xr:uid="{00000000-0002-0000-0700-000005000000}">
      <formula1>"NONE,KKK K03 (EXTREME)"</formula1>
    </dataValidation>
    <dataValidation type="list" showInputMessage="1" showErrorMessage="1" sqref="F22" xr:uid="{00000000-0002-0000-0700-000006000000}">
      <formula1>"YES,NO"</formula1>
    </dataValidation>
    <dataValidation type="list" showInputMessage="1" showErrorMessage="1" sqref="J24:K24" xr:uid="{00000000-0002-0000-0700-000007000000}">
      <formula1>"SMALL TURBO,BIG TURBO"</formula1>
    </dataValidation>
  </dataValidations>
  <hyperlinks>
    <hyperlink ref="X10:AE11" r:id="rId1" display="marius.guscius@vwklubas.lt" xr:uid="{00000000-0004-0000-0700-000000000000}"/>
    <hyperlink ref="X10" r:id="rId2" xr:uid="{00000000-0004-0000-0700-000001000000}"/>
  </hyperlinks>
  <pageMargins left="0.7" right="0.7" top="0.75" bottom="0.75" header="0.3" footer="0.3"/>
  <pageSetup paperSize="9"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B1:CZ60"/>
  <sheetViews>
    <sheetView showGridLines="0" showRowColHeaders="0" workbookViewId="0">
      <selection activeCell="S40" sqref="S40"/>
    </sheetView>
  </sheetViews>
  <sheetFormatPr defaultRowHeight="15" x14ac:dyDescent="0.25"/>
  <cols>
    <col min="1" max="1" width="1.42578125" style="2" customWidth="1"/>
    <col min="2" max="2" width="8.7109375" style="2" customWidth="1"/>
    <col min="3" max="3" width="9.140625" style="2"/>
    <col min="4" max="27" width="8.7109375" style="2" customWidth="1"/>
    <col min="28" max="104" width="8.7109375" style="2" hidden="1" customWidth="1"/>
    <col min="105" max="16384" width="9.140625" style="2"/>
  </cols>
  <sheetData>
    <row r="1" spans="2:32" ht="20.25" customHeight="1" x14ac:dyDescent="0.25"/>
    <row r="2" spans="2:32" ht="31.5" thickBot="1" x14ac:dyDescent="0.3">
      <c r="B2" s="347" t="s">
        <v>18</v>
      </c>
      <c r="C2" s="348"/>
      <c r="D2" s="348"/>
      <c r="E2" s="348"/>
      <c r="F2" s="348"/>
      <c r="G2" s="348"/>
      <c r="H2" s="348"/>
      <c r="I2" s="348"/>
      <c r="J2" s="348"/>
      <c r="K2" s="348"/>
      <c r="L2" s="348"/>
      <c r="M2" s="348"/>
      <c r="N2" s="348"/>
      <c r="O2" s="348"/>
      <c r="P2" s="348"/>
      <c r="Q2" s="348"/>
      <c r="R2" s="348"/>
      <c r="S2" s="348"/>
      <c r="T2" s="348"/>
      <c r="U2" s="6"/>
    </row>
    <row r="3" spans="2:32" ht="27.75" customHeight="1" thickTop="1" thickBot="1" x14ac:dyDescent="0.3">
      <c r="B3" s="1"/>
      <c r="C3" s="7" t="s">
        <v>16</v>
      </c>
      <c r="D3" s="96">
        <v>0</v>
      </c>
      <c r="E3" s="94">
        <v>5</v>
      </c>
      <c r="F3" s="94">
        <v>10</v>
      </c>
      <c r="G3" s="94">
        <v>15</v>
      </c>
      <c r="H3" s="94">
        <v>20</v>
      </c>
      <c r="I3" s="94">
        <v>25</v>
      </c>
      <c r="J3" s="94">
        <v>30</v>
      </c>
      <c r="K3" s="94">
        <v>35</v>
      </c>
      <c r="L3" s="94">
        <v>40</v>
      </c>
      <c r="M3" s="94">
        <v>50</v>
      </c>
      <c r="N3" s="94">
        <v>60</v>
      </c>
      <c r="O3" s="94">
        <v>70</v>
      </c>
      <c r="P3" s="94">
        <v>75</v>
      </c>
      <c r="Q3" s="94">
        <v>80</v>
      </c>
      <c r="R3" s="94">
        <v>85</v>
      </c>
      <c r="S3" s="95">
        <v>99</v>
      </c>
      <c r="T3" s="8"/>
      <c r="U3" s="9"/>
    </row>
    <row r="4" spans="2:32" ht="15" customHeight="1" thickTop="1" x14ac:dyDescent="0.25">
      <c r="B4" s="1"/>
      <c r="C4" s="74">
        <v>480</v>
      </c>
      <c r="D4" s="10">
        <v>0</v>
      </c>
      <c r="E4" s="11">
        <v>10.72</v>
      </c>
      <c r="F4" s="11">
        <v>20.72</v>
      </c>
      <c r="G4" s="11">
        <v>21.305600000000002</v>
      </c>
      <c r="H4" s="11">
        <v>25.724914285714291</v>
      </c>
      <c r="I4" s="11">
        <v>31.554285714285719</v>
      </c>
      <c r="J4" s="11">
        <v>39.722285714285718</v>
      </c>
      <c r="K4" s="11">
        <v>47.890285714285717</v>
      </c>
      <c r="L4" s="11">
        <v>56.058285714285724</v>
      </c>
      <c r="M4" s="11">
        <v>72.394285714285715</v>
      </c>
      <c r="N4" s="11">
        <v>88.730285714285714</v>
      </c>
      <c r="O4" s="11">
        <v>105.06628571428571</v>
      </c>
      <c r="P4" s="11">
        <v>113.23428571428572</v>
      </c>
      <c r="Q4" s="11">
        <v>121.40228571428572</v>
      </c>
      <c r="R4" s="11">
        <v>129.57028571428572</v>
      </c>
      <c r="S4" s="12">
        <v>152.44068571428573</v>
      </c>
      <c r="T4" s="13"/>
      <c r="U4" s="14"/>
    </row>
    <row r="5" spans="2:32" ht="15" customHeight="1" x14ac:dyDescent="0.25">
      <c r="B5" s="1"/>
      <c r="C5" s="75">
        <v>720</v>
      </c>
      <c r="D5" s="15">
        <v>0</v>
      </c>
      <c r="E5" s="16">
        <v>11.08</v>
      </c>
      <c r="F5" s="16">
        <v>21.08</v>
      </c>
      <c r="G5" s="16">
        <v>21.805600000000002</v>
      </c>
      <c r="H5" s="16">
        <v>26.117771428571434</v>
      </c>
      <c r="I5" s="16">
        <v>31.911428571428576</v>
      </c>
      <c r="J5" s="16">
        <v>40.079428571428572</v>
      </c>
      <c r="K5" s="16">
        <v>48.247428571428571</v>
      </c>
      <c r="L5" s="16">
        <v>56.415428571428578</v>
      </c>
      <c r="M5" s="16">
        <v>72.751428571428576</v>
      </c>
      <c r="N5" s="16">
        <v>89.087428571428575</v>
      </c>
      <c r="O5" s="16">
        <v>105.42342857142857</v>
      </c>
      <c r="P5" s="16">
        <v>113.59142857142858</v>
      </c>
      <c r="Q5" s="16">
        <v>121.75942857142859</v>
      </c>
      <c r="R5" s="16">
        <v>129.92742857142858</v>
      </c>
      <c r="S5" s="17">
        <v>152.7978285714286</v>
      </c>
      <c r="T5" s="13"/>
      <c r="U5" s="14"/>
      <c r="V5" s="81"/>
      <c r="W5" s="81"/>
      <c r="X5" s="81"/>
      <c r="Y5" s="81"/>
    </row>
    <row r="6" spans="2:32" ht="15" customHeight="1" x14ac:dyDescent="0.25">
      <c r="B6" s="1"/>
      <c r="C6" s="75">
        <v>1000</v>
      </c>
      <c r="D6" s="15">
        <v>0</v>
      </c>
      <c r="E6" s="16">
        <v>11.5</v>
      </c>
      <c r="F6" s="16">
        <v>21.5</v>
      </c>
      <c r="G6" s="16">
        <v>22.388933333333334</v>
      </c>
      <c r="H6" s="16">
        <v>26.576104761904766</v>
      </c>
      <c r="I6" s="16">
        <v>32.328095238095244</v>
      </c>
      <c r="J6" s="16">
        <v>40.496095238095243</v>
      </c>
      <c r="K6" s="16">
        <v>48.664095238095243</v>
      </c>
      <c r="L6" s="16">
        <v>56.832095238095249</v>
      </c>
      <c r="M6" s="16">
        <v>73.168095238095248</v>
      </c>
      <c r="N6" s="16">
        <v>89.504095238095246</v>
      </c>
      <c r="O6" s="16">
        <v>105.84009523809524</v>
      </c>
      <c r="P6" s="16">
        <v>114.00809523809525</v>
      </c>
      <c r="Q6" s="16">
        <v>122.17609523809526</v>
      </c>
      <c r="R6" s="16">
        <v>130.34409523809524</v>
      </c>
      <c r="S6" s="17">
        <v>153.21449523809525</v>
      </c>
      <c r="T6" s="13"/>
      <c r="U6" s="14"/>
      <c r="V6" s="82"/>
      <c r="W6" s="83"/>
      <c r="X6" s="83"/>
      <c r="Y6" s="83"/>
    </row>
    <row r="7" spans="2:32" ht="15" customHeight="1" x14ac:dyDescent="0.25">
      <c r="B7" s="1"/>
      <c r="C7" s="75">
        <v>1240</v>
      </c>
      <c r="D7" s="15">
        <v>0</v>
      </c>
      <c r="E7" s="16">
        <v>11.860066190476189</v>
      </c>
      <c r="F7" s="16">
        <v>21.900906190476189</v>
      </c>
      <c r="G7" s="16">
        <v>22.970679523809526</v>
      </c>
      <c r="H7" s="16">
        <v>27.0915480952381</v>
      </c>
      <c r="I7" s="16">
        <v>32.848664285714285</v>
      </c>
      <c r="J7" s="16">
        <v>41.057504285714288</v>
      </c>
      <c r="K7" s="16">
        <v>49.26634428571429</v>
      </c>
      <c r="L7" s="16">
        <v>57.475184285714292</v>
      </c>
      <c r="M7" s="16">
        <v>73.892864285714296</v>
      </c>
      <c r="N7" s="16">
        <v>90.3105442857143</v>
      </c>
      <c r="O7" s="16">
        <v>106.72822428571429</v>
      </c>
      <c r="P7" s="16">
        <v>114.9370642857143</v>
      </c>
      <c r="Q7" s="16">
        <v>123.14590428571431</v>
      </c>
      <c r="R7" s="16">
        <v>131.35474428571428</v>
      </c>
      <c r="S7" s="17">
        <v>154.33949628571432</v>
      </c>
      <c r="T7" s="13"/>
      <c r="U7" s="14"/>
      <c r="V7" s="83"/>
      <c r="W7" s="83"/>
      <c r="X7" s="83"/>
      <c r="Y7" s="83"/>
    </row>
    <row r="8" spans="2:32" ht="15" customHeight="1" x14ac:dyDescent="0.25">
      <c r="B8" s="1"/>
      <c r="C8" s="75">
        <v>1520</v>
      </c>
      <c r="D8" s="15">
        <v>0</v>
      </c>
      <c r="E8" s="16">
        <v>12.284299047619049</v>
      </c>
      <c r="F8" s="16">
        <v>22.365979047619049</v>
      </c>
      <c r="G8" s="16">
        <v>23.639925714285717</v>
      </c>
      <c r="H8" s="16">
        <v>27.676634285714293</v>
      </c>
      <c r="I8" s="16">
        <v>33.432923809523807</v>
      </c>
      <c r="J8" s="16">
        <v>41.682603809523812</v>
      </c>
      <c r="K8" s="16">
        <v>49.93228380952381</v>
      </c>
      <c r="L8" s="16">
        <v>58.181963809523815</v>
      </c>
      <c r="M8" s="16">
        <v>74.681323809523818</v>
      </c>
      <c r="N8" s="16">
        <v>91.180683809523813</v>
      </c>
      <c r="O8" s="16">
        <v>107.68004380952381</v>
      </c>
      <c r="P8" s="16">
        <v>115.92972380952382</v>
      </c>
      <c r="Q8" s="16">
        <v>124.17940380952382</v>
      </c>
      <c r="R8" s="16">
        <v>132.4290838095238</v>
      </c>
      <c r="S8" s="17">
        <v>155.52818780952381</v>
      </c>
      <c r="T8" s="13"/>
      <c r="U8" s="14"/>
      <c r="V8" s="83"/>
      <c r="W8" s="83"/>
      <c r="X8" s="83"/>
      <c r="Y8" s="83"/>
    </row>
    <row r="9" spans="2:32" ht="15" customHeight="1" x14ac:dyDescent="0.25">
      <c r="B9" s="1"/>
      <c r="C9" s="75">
        <v>1760</v>
      </c>
      <c r="D9" s="15">
        <v>0</v>
      </c>
      <c r="E9" s="16">
        <v>12.651805714285715</v>
      </c>
      <c r="F9" s="16">
        <v>22.774325714285716</v>
      </c>
      <c r="G9" s="16">
        <v>24.229112380952383</v>
      </c>
      <c r="H9" s="16">
        <v>28.199518095238101</v>
      </c>
      <c r="I9" s="16">
        <v>33.960933333333337</v>
      </c>
      <c r="J9" s="16">
        <v>42.251453333333338</v>
      </c>
      <c r="K9" s="16">
        <v>50.541973333333338</v>
      </c>
      <c r="L9" s="16">
        <v>58.832493333333346</v>
      </c>
      <c r="M9" s="16">
        <v>75.413533333333348</v>
      </c>
      <c r="N9" s="16">
        <v>91.994573333333335</v>
      </c>
      <c r="O9" s="16">
        <v>108.57561333333334</v>
      </c>
      <c r="P9" s="16">
        <v>116.86613333333335</v>
      </c>
      <c r="Q9" s="16">
        <v>125.15665333333335</v>
      </c>
      <c r="R9" s="16">
        <v>133.44717333333332</v>
      </c>
      <c r="S9" s="17">
        <v>156.66062933333336</v>
      </c>
      <c r="T9" s="13"/>
      <c r="U9" s="14"/>
      <c r="V9" s="83"/>
      <c r="W9" s="83"/>
      <c r="X9" s="83"/>
      <c r="Y9" s="83"/>
    </row>
    <row r="10" spans="2:32" ht="15" customHeight="1" x14ac:dyDescent="0.25">
      <c r="B10" s="1"/>
      <c r="C10" s="75">
        <v>2000</v>
      </c>
      <c r="D10" s="15">
        <v>0</v>
      </c>
      <c r="E10" s="16">
        <v>13.028604761904761</v>
      </c>
      <c r="F10" s="16">
        <v>23.232804761904763</v>
      </c>
      <c r="G10" s="16">
        <v>24.909271428571433</v>
      </c>
      <c r="H10" s="16">
        <v>28.854214285714288</v>
      </c>
      <c r="I10" s="16">
        <v>34.661595238095238</v>
      </c>
      <c r="J10" s="16">
        <v>43.033795238095237</v>
      </c>
      <c r="K10" s="16">
        <v>51.405995238095237</v>
      </c>
      <c r="L10" s="16">
        <v>59.778195238095243</v>
      </c>
      <c r="M10" s="16">
        <v>76.522595238095249</v>
      </c>
      <c r="N10" s="16">
        <v>93.266995238095248</v>
      </c>
      <c r="O10" s="16">
        <v>110.01139523809525</v>
      </c>
      <c r="P10" s="16">
        <v>118.38359523809525</v>
      </c>
      <c r="Q10" s="16">
        <v>126.75579523809526</v>
      </c>
      <c r="R10" s="16">
        <v>135.12799523809525</v>
      </c>
      <c r="S10" s="17">
        <v>158.57015523809525</v>
      </c>
      <c r="T10" s="13"/>
      <c r="U10" s="14"/>
      <c r="V10" s="81"/>
      <c r="W10" s="81"/>
      <c r="X10" s="81"/>
      <c r="Y10" s="81"/>
    </row>
    <row r="11" spans="2:32" ht="15" customHeight="1" x14ac:dyDescent="0.25">
      <c r="B11" s="1"/>
      <c r="C11" s="75">
        <v>2520</v>
      </c>
      <c r="D11" s="15">
        <v>0</v>
      </c>
      <c r="E11" s="16">
        <v>13.835622000000001</v>
      </c>
      <c r="F11" s="16">
        <v>24.072494000000003</v>
      </c>
      <c r="G11" s="16">
        <v>26.084966000000001</v>
      </c>
      <c r="H11" s="16">
        <v>29.830438000000008</v>
      </c>
      <c r="I11" s="16">
        <v>35.593110000000003</v>
      </c>
      <c r="J11" s="16">
        <v>43.997982</v>
      </c>
      <c r="K11" s="16">
        <v>52.402854000000005</v>
      </c>
      <c r="L11" s="16">
        <v>60.807726000000009</v>
      </c>
      <c r="M11" s="16">
        <v>77.617470000000012</v>
      </c>
      <c r="N11" s="16">
        <v>94.427214000000006</v>
      </c>
      <c r="O11" s="16">
        <v>111.236958</v>
      </c>
      <c r="P11" s="16">
        <v>119.64183000000001</v>
      </c>
      <c r="Q11" s="16">
        <v>128.04670200000001</v>
      </c>
      <c r="R11" s="16">
        <v>136.45157399999999</v>
      </c>
      <c r="S11" s="17">
        <v>159.9852156</v>
      </c>
      <c r="T11" s="13"/>
      <c r="U11" s="14"/>
      <c r="V11" s="81"/>
      <c r="W11" s="81"/>
      <c r="X11" s="81"/>
      <c r="Y11" s="81"/>
      <c r="AF11" s="18"/>
    </row>
    <row r="12" spans="2:32" ht="15" customHeight="1" x14ac:dyDescent="0.25">
      <c r="B12" s="1"/>
      <c r="C12" s="75">
        <v>3000</v>
      </c>
      <c r="D12" s="15">
        <v>0</v>
      </c>
      <c r="E12" s="16">
        <v>14.571071714285715</v>
      </c>
      <c r="F12" s="16">
        <v>24.791607714285714</v>
      </c>
      <c r="G12" s="16">
        <v>27.067743714285719</v>
      </c>
      <c r="H12" s="16">
        <v>30.582594000000007</v>
      </c>
      <c r="I12" s="16">
        <v>36.25750142857143</v>
      </c>
      <c r="J12" s="16">
        <v>44.646037428571432</v>
      </c>
      <c r="K12" s="16">
        <v>53.034573428571434</v>
      </c>
      <c r="L12" s="16">
        <v>61.423109428571436</v>
      </c>
      <c r="M12" s="16">
        <v>78.200181428571426</v>
      </c>
      <c r="N12" s="16">
        <v>94.97725342857143</v>
      </c>
      <c r="O12" s="16">
        <v>111.75432542857142</v>
      </c>
      <c r="P12" s="16">
        <v>120.14286142857144</v>
      </c>
      <c r="Q12" s="16">
        <v>128.53139742857144</v>
      </c>
      <c r="R12" s="16">
        <v>136.91993342857143</v>
      </c>
      <c r="S12" s="17">
        <v>160.40783422857146</v>
      </c>
      <c r="T12" s="13"/>
      <c r="U12" s="14"/>
      <c r="V12" s="81"/>
      <c r="W12" s="81"/>
      <c r="X12" s="81"/>
      <c r="Y12" s="81"/>
      <c r="AF12" s="18"/>
    </row>
    <row r="13" spans="2:32" ht="15" customHeight="1" x14ac:dyDescent="0.25">
      <c r="B13" s="1"/>
      <c r="C13" s="75">
        <v>3520</v>
      </c>
      <c r="D13" s="15">
        <v>0</v>
      </c>
      <c r="E13" s="16">
        <v>15.365152380952383</v>
      </c>
      <c r="F13" s="16">
        <v>25.569352380952381</v>
      </c>
      <c r="G13" s="16">
        <v>28.132485714285714</v>
      </c>
      <c r="H13" s="16">
        <v>31.398857142857146</v>
      </c>
      <c r="I13" s="16">
        <v>36.980047619047625</v>
      </c>
      <c r="J13" s="16">
        <v>45.352247619047624</v>
      </c>
      <c r="K13" s="16">
        <v>53.724447619047623</v>
      </c>
      <c r="L13" s="16">
        <v>62.09664761904763</v>
      </c>
      <c r="M13" s="16">
        <v>78.841047619047629</v>
      </c>
      <c r="N13" s="16">
        <v>95.585447619047628</v>
      </c>
      <c r="O13" s="16">
        <v>112.32984761904763</v>
      </c>
      <c r="P13" s="16">
        <v>120.70204761904763</v>
      </c>
      <c r="Q13" s="16">
        <v>129.07424761904764</v>
      </c>
      <c r="R13" s="16">
        <v>137.4464476190476</v>
      </c>
      <c r="S13" s="17">
        <v>160.88860761904763</v>
      </c>
      <c r="T13" s="13"/>
      <c r="U13" s="14"/>
      <c r="V13" s="81"/>
      <c r="W13" s="81"/>
      <c r="X13" s="81"/>
      <c r="Y13" s="81"/>
    </row>
    <row r="14" spans="2:32" ht="15" customHeight="1" x14ac:dyDescent="0.25">
      <c r="B14" s="1"/>
      <c r="C14" s="75">
        <v>4000</v>
      </c>
      <c r="D14" s="15">
        <v>0</v>
      </c>
      <c r="E14" s="16">
        <v>16.082407619047618</v>
      </c>
      <c r="F14" s="16">
        <v>26.245767619047619</v>
      </c>
      <c r="G14" s="16">
        <v>29.048060952380954</v>
      </c>
      <c r="H14" s="16">
        <v>32.059306666666672</v>
      </c>
      <c r="I14" s="16">
        <v>37.528228571428571</v>
      </c>
      <c r="J14" s="16">
        <v>45.859588571428581</v>
      </c>
      <c r="K14" s="16">
        <v>54.190948571428571</v>
      </c>
      <c r="L14" s="16">
        <v>62.522308571428574</v>
      </c>
      <c r="M14" s="16">
        <v>79.185028571428575</v>
      </c>
      <c r="N14" s="16">
        <v>95.847748571428568</v>
      </c>
      <c r="O14" s="16">
        <v>112.51046857142858</v>
      </c>
      <c r="P14" s="16">
        <v>120.84182857142858</v>
      </c>
      <c r="Q14" s="16">
        <v>129.1731885714286</v>
      </c>
      <c r="R14" s="16">
        <v>137.50454857142859</v>
      </c>
      <c r="S14" s="17">
        <v>160.83235657142859</v>
      </c>
      <c r="T14" s="13"/>
      <c r="U14" s="14"/>
      <c r="V14" s="81"/>
      <c r="W14" s="81"/>
      <c r="X14" s="81"/>
      <c r="Y14" s="81"/>
    </row>
    <row r="15" spans="2:32" ht="15" customHeight="1" x14ac:dyDescent="0.25">
      <c r="B15" s="1"/>
      <c r="C15" s="75">
        <v>4520</v>
      </c>
      <c r="D15" s="15">
        <v>0</v>
      </c>
      <c r="E15" s="16">
        <v>16.853412857142857</v>
      </c>
      <c r="F15" s="16">
        <v>26.975932857142858</v>
      </c>
      <c r="G15" s="16">
        <v>30.040719523809528</v>
      </c>
      <c r="H15" s="16">
        <v>32.778982380952385</v>
      </c>
      <c r="I15" s="16">
        <v>38.129683333333332</v>
      </c>
      <c r="J15" s="16">
        <v>46.420203333333333</v>
      </c>
      <c r="K15" s="16">
        <v>54.710723333333334</v>
      </c>
      <c r="L15" s="16">
        <v>63.001243333333342</v>
      </c>
      <c r="M15" s="16">
        <v>79.582283333333351</v>
      </c>
      <c r="N15" s="16">
        <v>96.163323333333338</v>
      </c>
      <c r="O15" s="16">
        <v>112.74436333333334</v>
      </c>
      <c r="P15" s="16">
        <v>121.03488333333335</v>
      </c>
      <c r="Q15" s="16">
        <v>129.32540333333336</v>
      </c>
      <c r="R15" s="16">
        <v>137.61592333333334</v>
      </c>
      <c r="S15" s="17">
        <v>160.82937933333335</v>
      </c>
      <c r="T15" s="13"/>
      <c r="U15" s="14"/>
    </row>
    <row r="16" spans="2:32" ht="15" customHeight="1" x14ac:dyDescent="0.25">
      <c r="B16" s="1"/>
      <c r="C16" s="75">
        <v>5000</v>
      </c>
      <c r="D16" s="15">
        <v>0</v>
      </c>
      <c r="E16" s="16">
        <v>17.359788095238095</v>
      </c>
      <c r="F16" s="16">
        <v>27.155588095238095</v>
      </c>
      <c r="G16" s="16">
        <v>30.173654761904764</v>
      </c>
      <c r="H16" s="16">
        <v>32.370911904761904</v>
      </c>
      <c r="I16" s="16">
        <v>37.323464285714287</v>
      </c>
      <c r="J16" s="16">
        <v>45.287264285714286</v>
      </c>
      <c r="K16" s="16">
        <v>53.251064285714286</v>
      </c>
      <c r="L16" s="16">
        <v>61.214864285714292</v>
      </c>
      <c r="M16" s="16">
        <v>77.142464285714297</v>
      </c>
      <c r="N16" s="16">
        <v>93.070064285714295</v>
      </c>
      <c r="O16" s="16">
        <v>108.99766428571429</v>
      </c>
      <c r="P16" s="16">
        <v>116.9614642857143</v>
      </c>
      <c r="Q16" s="16">
        <v>124.92526428571432</v>
      </c>
      <c r="R16" s="16">
        <v>132.88906428571428</v>
      </c>
      <c r="S16" s="17">
        <v>155.18770428571432</v>
      </c>
      <c r="T16" s="13"/>
      <c r="U16" s="14"/>
      <c r="W16" s="18"/>
      <c r="X16" s="18"/>
      <c r="Y16" s="18"/>
      <c r="Z16" s="18"/>
      <c r="AA16" s="18"/>
      <c r="AB16" s="18"/>
      <c r="AC16" s="18"/>
      <c r="AD16" s="18"/>
    </row>
    <row r="17" spans="2:30" ht="15" customHeight="1" x14ac:dyDescent="0.25">
      <c r="B17" s="1"/>
      <c r="C17" s="75">
        <v>5720</v>
      </c>
      <c r="D17" s="15">
        <v>0</v>
      </c>
      <c r="E17" s="16">
        <v>18.07900714285714</v>
      </c>
      <c r="F17" s="16">
        <v>27.46640714285714</v>
      </c>
      <c r="G17" s="16">
        <v>30.496073809523814</v>
      </c>
      <c r="H17" s="16">
        <v>31.963502380952384</v>
      </c>
      <c r="I17" s="16">
        <v>36.400511904761906</v>
      </c>
      <c r="J17" s="16">
        <v>43.955911904761905</v>
      </c>
      <c r="K17" s="16">
        <v>51.511311904761904</v>
      </c>
      <c r="L17" s="16">
        <v>59.06671190476191</v>
      </c>
      <c r="M17" s="16">
        <v>74.177511904761914</v>
      </c>
      <c r="N17" s="16">
        <v>89.288311904761912</v>
      </c>
      <c r="O17" s="16">
        <v>104.39911190476191</v>
      </c>
      <c r="P17" s="16">
        <v>111.95451190476192</v>
      </c>
      <c r="Q17" s="16">
        <v>119.50991190476192</v>
      </c>
      <c r="R17" s="16">
        <v>127.0653119047619</v>
      </c>
      <c r="S17" s="17">
        <v>148.22043190476191</v>
      </c>
      <c r="T17" s="13"/>
      <c r="U17" s="14"/>
      <c r="W17" s="18"/>
      <c r="X17" s="18"/>
      <c r="Y17" s="18"/>
      <c r="Z17" s="18"/>
      <c r="AA17" s="18"/>
      <c r="AB17" s="18"/>
      <c r="AC17" s="18"/>
      <c r="AD17" s="18"/>
    </row>
    <row r="18" spans="2:30" ht="15" customHeight="1" x14ac:dyDescent="0.25">
      <c r="B18" s="1"/>
      <c r="C18" s="75">
        <v>6000</v>
      </c>
      <c r="D18" s="15">
        <v>0</v>
      </c>
      <c r="E18" s="16">
        <v>18.361308571428573</v>
      </c>
      <c r="F18" s="16">
        <v>27.626188571428571</v>
      </c>
      <c r="G18" s="16">
        <v>30.696668571428571</v>
      </c>
      <c r="H18" s="16">
        <v>31.916577142857147</v>
      </c>
      <c r="I18" s="16">
        <v>36.189400000000006</v>
      </c>
      <c r="J18" s="16">
        <v>43.622280000000003</v>
      </c>
      <c r="K18" s="16">
        <v>51.055160000000001</v>
      </c>
      <c r="L18" s="16">
        <v>58.488040000000012</v>
      </c>
      <c r="M18" s="16">
        <v>73.353800000000007</v>
      </c>
      <c r="N18" s="16">
        <v>88.219560000000001</v>
      </c>
      <c r="O18" s="16">
        <v>103.08532000000001</v>
      </c>
      <c r="P18" s="16">
        <v>110.51820000000001</v>
      </c>
      <c r="Q18" s="16">
        <v>117.95108</v>
      </c>
      <c r="R18" s="16">
        <v>125.38395999999999</v>
      </c>
      <c r="S18" s="17">
        <v>146.19602399999999</v>
      </c>
      <c r="T18" s="13"/>
      <c r="U18" s="14"/>
      <c r="W18" s="18"/>
      <c r="X18" s="18"/>
      <c r="Y18" s="18"/>
      <c r="Z18" s="18"/>
      <c r="AA18" s="18"/>
      <c r="AB18" s="18"/>
      <c r="AC18" s="18"/>
      <c r="AD18" s="18"/>
    </row>
    <row r="19" spans="2:30" ht="15" customHeight="1" thickBot="1" x14ac:dyDescent="0.3">
      <c r="B19" s="1"/>
      <c r="C19" s="76">
        <v>6720</v>
      </c>
      <c r="D19" s="19">
        <v>0</v>
      </c>
      <c r="E19" s="20">
        <v>19.018159999999998</v>
      </c>
      <c r="F19" s="20">
        <v>27.956319999999998</v>
      </c>
      <c r="G19" s="20">
        <v>31.120079999999998</v>
      </c>
      <c r="H19" s="20">
        <v>31.691840000000006</v>
      </c>
      <c r="I19" s="20">
        <v>35.530799999999999</v>
      </c>
      <c r="J19" s="20">
        <v>42.636960000000002</v>
      </c>
      <c r="K19" s="20">
        <v>49.743120000000005</v>
      </c>
      <c r="L19" s="20">
        <v>56.849280000000007</v>
      </c>
      <c r="M19" s="20">
        <v>71.061599999999999</v>
      </c>
      <c r="N19" s="20">
        <v>85.273920000000004</v>
      </c>
      <c r="O19" s="20">
        <v>99.486240000000009</v>
      </c>
      <c r="P19" s="20">
        <v>106.59240000000001</v>
      </c>
      <c r="Q19" s="20">
        <v>113.69856000000001</v>
      </c>
      <c r="R19" s="20">
        <v>120.80472</v>
      </c>
      <c r="S19" s="21">
        <v>140.70196800000002</v>
      </c>
      <c r="T19" s="13"/>
      <c r="U19" s="14"/>
    </row>
    <row r="20" spans="2:30" ht="15.75" thickTop="1" x14ac:dyDescent="0.25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</row>
    <row r="22" spans="2:30" ht="31.5" customHeight="1" thickBot="1" x14ac:dyDescent="0.3">
      <c r="B22" s="347" t="s">
        <v>19</v>
      </c>
      <c r="C22" s="348"/>
      <c r="D22" s="348"/>
      <c r="E22" s="348"/>
      <c r="F22" s="348"/>
      <c r="G22" s="348"/>
      <c r="H22" s="348"/>
      <c r="I22" s="348"/>
      <c r="J22" s="348"/>
      <c r="K22" s="348"/>
      <c r="L22" s="348"/>
      <c r="M22" s="348"/>
      <c r="N22" s="348"/>
      <c r="O22" s="348"/>
      <c r="P22" s="6"/>
      <c r="Q22" s="22"/>
      <c r="R22" s="22"/>
      <c r="S22" s="22"/>
      <c r="T22" s="22"/>
      <c r="U22" s="22"/>
      <c r="V22" s="22"/>
      <c r="W22" s="22"/>
      <c r="X22" s="22"/>
      <c r="Y22" s="22"/>
    </row>
    <row r="23" spans="2:30" ht="27.75" customHeight="1" thickTop="1" thickBot="1" x14ac:dyDescent="0.3">
      <c r="B23" s="23"/>
      <c r="C23" s="7" t="s">
        <v>16</v>
      </c>
      <c r="D23" s="114">
        <v>17</v>
      </c>
      <c r="E23" s="115">
        <v>27</v>
      </c>
      <c r="F23" s="115">
        <v>46</v>
      </c>
      <c r="G23" s="115">
        <v>55</v>
      </c>
      <c r="H23" s="115">
        <v>63</v>
      </c>
      <c r="I23" s="115">
        <v>80</v>
      </c>
      <c r="J23" s="115">
        <v>96</v>
      </c>
      <c r="K23" s="115">
        <v>113</v>
      </c>
      <c r="L23" s="115">
        <v>129</v>
      </c>
      <c r="M23" s="115">
        <v>138</v>
      </c>
      <c r="N23" s="116">
        <v>161</v>
      </c>
      <c r="O23" s="1"/>
      <c r="Q23" s="24"/>
      <c r="R23" s="320" t="s">
        <v>35</v>
      </c>
      <c r="S23" s="321"/>
      <c r="T23" s="321"/>
      <c r="U23" s="321"/>
      <c r="V23" s="321"/>
      <c r="W23" s="321"/>
      <c r="X23" s="321"/>
      <c r="Y23" s="22"/>
    </row>
    <row r="24" spans="2:30" ht="15.75" thickTop="1" x14ac:dyDescent="0.25">
      <c r="B24" s="23"/>
      <c r="C24" s="110">
        <v>480</v>
      </c>
      <c r="D24" s="25">
        <f>MATCH(D$23, $D44:$CY44, 1)</f>
        <v>9</v>
      </c>
      <c r="E24" s="26">
        <f t="shared" ref="E24:N24" si="0">MATCH(E$23, $D44:$CY44, 1)</f>
        <v>22</v>
      </c>
      <c r="F24" s="26">
        <f t="shared" si="0"/>
        <v>34</v>
      </c>
      <c r="G24" s="26">
        <f t="shared" si="0"/>
        <v>40</v>
      </c>
      <c r="H24" s="26">
        <f t="shared" si="0"/>
        <v>45</v>
      </c>
      <c r="I24" s="26">
        <f t="shared" si="0"/>
        <v>55</v>
      </c>
      <c r="J24" s="26">
        <f t="shared" si="0"/>
        <v>65</v>
      </c>
      <c r="K24" s="26">
        <f t="shared" si="0"/>
        <v>75</v>
      </c>
      <c r="L24" s="26">
        <f t="shared" si="0"/>
        <v>85</v>
      </c>
      <c r="M24" s="26">
        <f t="shared" si="0"/>
        <v>91</v>
      </c>
      <c r="N24" s="27">
        <f t="shared" si="0"/>
        <v>100</v>
      </c>
      <c r="O24" s="1"/>
      <c r="Q24" s="24"/>
      <c r="R24" s="323"/>
      <c r="S24" s="353"/>
      <c r="T24" s="353"/>
      <c r="U24" s="353"/>
      <c r="V24" s="353"/>
      <c r="W24" s="353"/>
      <c r="X24" s="353"/>
      <c r="Y24" s="22"/>
    </row>
    <row r="25" spans="2:30" x14ac:dyDescent="0.25">
      <c r="B25" s="23"/>
      <c r="C25" s="111">
        <v>720</v>
      </c>
      <c r="D25" s="28">
        <f t="shared" ref="D25:N39" si="1">MATCH(D$23, $D45:$CY45, 1)</f>
        <v>8</v>
      </c>
      <c r="E25" s="29">
        <f t="shared" si="1"/>
        <v>21</v>
      </c>
      <c r="F25" s="29">
        <f t="shared" si="1"/>
        <v>34</v>
      </c>
      <c r="G25" s="29">
        <f t="shared" si="1"/>
        <v>40</v>
      </c>
      <c r="H25" s="29">
        <f t="shared" si="1"/>
        <v>45</v>
      </c>
      <c r="I25" s="29">
        <f t="shared" si="1"/>
        <v>55</v>
      </c>
      <c r="J25" s="29">
        <f t="shared" si="1"/>
        <v>65</v>
      </c>
      <c r="K25" s="29">
        <f t="shared" si="1"/>
        <v>75</v>
      </c>
      <c r="L25" s="29">
        <f t="shared" si="1"/>
        <v>85</v>
      </c>
      <c r="M25" s="29">
        <f t="shared" si="1"/>
        <v>90</v>
      </c>
      <c r="N25" s="30">
        <f t="shared" si="1"/>
        <v>100</v>
      </c>
      <c r="O25" s="1"/>
      <c r="Q25" s="24"/>
      <c r="R25" s="323"/>
      <c r="S25" s="353"/>
      <c r="T25" s="353"/>
      <c r="U25" s="353"/>
      <c r="V25" s="353"/>
      <c r="W25" s="353"/>
      <c r="X25" s="353"/>
      <c r="Y25" s="22"/>
    </row>
    <row r="26" spans="2:30" x14ac:dyDescent="0.25">
      <c r="B26" s="23"/>
      <c r="C26" s="111">
        <v>1000</v>
      </c>
      <c r="D26" s="28">
        <f t="shared" si="1"/>
        <v>8</v>
      </c>
      <c r="E26" s="29">
        <f t="shared" si="1"/>
        <v>21</v>
      </c>
      <c r="F26" s="29">
        <f t="shared" si="1"/>
        <v>34</v>
      </c>
      <c r="G26" s="29">
        <f t="shared" si="1"/>
        <v>39</v>
      </c>
      <c r="H26" s="29">
        <f t="shared" si="1"/>
        <v>44</v>
      </c>
      <c r="I26" s="29">
        <f t="shared" si="1"/>
        <v>55</v>
      </c>
      <c r="J26" s="29">
        <f t="shared" si="1"/>
        <v>64</v>
      </c>
      <c r="K26" s="29">
        <f t="shared" si="1"/>
        <v>75</v>
      </c>
      <c r="L26" s="29">
        <f t="shared" si="1"/>
        <v>85</v>
      </c>
      <c r="M26" s="29">
        <f t="shared" si="1"/>
        <v>90</v>
      </c>
      <c r="N26" s="30">
        <f t="shared" si="1"/>
        <v>100</v>
      </c>
      <c r="O26" s="1"/>
      <c r="Q26" s="24"/>
      <c r="R26" s="323"/>
      <c r="S26" s="353"/>
      <c r="T26" s="353"/>
      <c r="U26" s="353"/>
      <c r="V26" s="353"/>
      <c r="W26" s="353"/>
      <c r="X26" s="353"/>
      <c r="Y26" s="22"/>
    </row>
    <row r="27" spans="2:30" x14ac:dyDescent="0.25">
      <c r="B27" s="23"/>
      <c r="C27" s="111">
        <v>1240</v>
      </c>
      <c r="D27" s="28">
        <f t="shared" si="1"/>
        <v>8</v>
      </c>
      <c r="E27" s="29">
        <f t="shared" si="1"/>
        <v>20</v>
      </c>
      <c r="F27" s="29">
        <f t="shared" si="1"/>
        <v>34</v>
      </c>
      <c r="G27" s="29">
        <f t="shared" si="1"/>
        <v>39</v>
      </c>
      <c r="H27" s="29">
        <f t="shared" si="1"/>
        <v>44</v>
      </c>
      <c r="I27" s="29">
        <f t="shared" si="1"/>
        <v>54</v>
      </c>
      <c r="J27" s="29">
        <f t="shared" si="1"/>
        <v>64</v>
      </c>
      <c r="K27" s="29">
        <f t="shared" si="1"/>
        <v>74</v>
      </c>
      <c r="L27" s="29">
        <f t="shared" si="1"/>
        <v>84</v>
      </c>
      <c r="M27" s="29">
        <f t="shared" si="1"/>
        <v>90</v>
      </c>
      <c r="N27" s="30">
        <f t="shared" si="1"/>
        <v>100</v>
      </c>
      <c r="O27" s="113"/>
      <c r="Q27" s="24"/>
      <c r="R27" s="323"/>
      <c r="S27" s="353"/>
      <c r="T27" s="353"/>
      <c r="U27" s="353"/>
      <c r="V27" s="353"/>
      <c r="W27" s="353"/>
      <c r="X27" s="353"/>
      <c r="Y27" s="22"/>
    </row>
    <row r="28" spans="2:30" x14ac:dyDescent="0.25">
      <c r="B28" s="23"/>
      <c r="C28" s="111">
        <v>1520</v>
      </c>
      <c r="D28" s="28">
        <f t="shared" si="1"/>
        <v>8</v>
      </c>
      <c r="E28" s="29">
        <f t="shared" si="1"/>
        <v>20</v>
      </c>
      <c r="F28" s="29">
        <f t="shared" si="1"/>
        <v>33</v>
      </c>
      <c r="G28" s="29">
        <f t="shared" si="1"/>
        <v>39</v>
      </c>
      <c r="H28" s="29">
        <f t="shared" si="1"/>
        <v>43</v>
      </c>
      <c r="I28" s="29">
        <f t="shared" si="1"/>
        <v>54</v>
      </c>
      <c r="J28" s="29">
        <f t="shared" si="1"/>
        <v>63</v>
      </c>
      <c r="K28" s="29">
        <f t="shared" si="1"/>
        <v>74</v>
      </c>
      <c r="L28" s="29">
        <f t="shared" si="1"/>
        <v>83</v>
      </c>
      <c r="M28" s="29">
        <f t="shared" si="1"/>
        <v>89</v>
      </c>
      <c r="N28" s="30">
        <f t="shared" si="1"/>
        <v>100</v>
      </c>
      <c r="O28" s="1"/>
      <c r="Q28" s="24"/>
      <c r="R28" s="323"/>
      <c r="S28" s="353"/>
      <c r="T28" s="353"/>
      <c r="U28" s="353"/>
      <c r="V28" s="353"/>
      <c r="W28" s="353"/>
      <c r="X28" s="353"/>
      <c r="Y28" s="22"/>
    </row>
    <row r="29" spans="2:30" x14ac:dyDescent="0.25">
      <c r="B29" s="23"/>
      <c r="C29" s="111">
        <v>1760</v>
      </c>
      <c r="D29" s="28">
        <f t="shared" si="1"/>
        <v>8</v>
      </c>
      <c r="E29" s="29">
        <f t="shared" si="1"/>
        <v>19</v>
      </c>
      <c r="F29" s="29">
        <f t="shared" si="1"/>
        <v>33</v>
      </c>
      <c r="G29" s="29">
        <f t="shared" si="1"/>
        <v>38</v>
      </c>
      <c r="H29" s="29">
        <f t="shared" si="1"/>
        <v>43</v>
      </c>
      <c r="I29" s="29">
        <f t="shared" si="1"/>
        <v>53</v>
      </c>
      <c r="J29" s="29">
        <f t="shared" si="1"/>
        <v>63</v>
      </c>
      <c r="K29" s="29">
        <f t="shared" si="1"/>
        <v>73</v>
      </c>
      <c r="L29" s="29">
        <f t="shared" si="1"/>
        <v>83</v>
      </c>
      <c r="M29" s="29">
        <f t="shared" si="1"/>
        <v>88</v>
      </c>
      <c r="N29" s="30">
        <f t="shared" si="1"/>
        <v>100</v>
      </c>
      <c r="O29" s="31"/>
      <c r="Q29" s="24"/>
      <c r="R29" s="323"/>
      <c r="S29" s="353"/>
      <c r="T29" s="353"/>
      <c r="U29" s="353"/>
      <c r="V29" s="353"/>
      <c r="W29" s="353"/>
      <c r="X29" s="353"/>
      <c r="Y29" s="22"/>
    </row>
    <row r="30" spans="2:30" x14ac:dyDescent="0.25">
      <c r="B30" s="23"/>
      <c r="C30" s="111">
        <v>2000</v>
      </c>
      <c r="D30" s="28">
        <f t="shared" si="1"/>
        <v>7</v>
      </c>
      <c r="E30" s="29">
        <f t="shared" si="1"/>
        <v>18</v>
      </c>
      <c r="F30" s="29">
        <f t="shared" si="1"/>
        <v>32</v>
      </c>
      <c r="G30" s="29">
        <f t="shared" si="1"/>
        <v>38</v>
      </c>
      <c r="H30" s="29">
        <f t="shared" si="1"/>
        <v>42</v>
      </c>
      <c r="I30" s="29">
        <f t="shared" si="1"/>
        <v>53</v>
      </c>
      <c r="J30" s="29">
        <f t="shared" si="1"/>
        <v>62</v>
      </c>
      <c r="K30" s="29">
        <f t="shared" si="1"/>
        <v>72</v>
      </c>
      <c r="L30" s="29">
        <f t="shared" si="1"/>
        <v>82</v>
      </c>
      <c r="M30" s="29">
        <f t="shared" si="1"/>
        <v>87</v>
      </c>
      <c r="N30" s="30">
        <f t="shared" si="1"/>
        <v>100</v>
      </c>
      <c r="O30" s="1"/>
      <c r="Q30" s="24"/>
      <c r="R30" s="326" t="s">
        <v>0</v>
      </c>
      <c r="S30" s="353"/>
      <c r="T30" s="353"/>
      <c r="U30" s="353"/>
      <c r="V30" s="353"/>
      <c r="W30" s="353"/>
      <c r="X30" s="353"/>
      <c r="Y30" s="22"/>
    </row>
    <row r="31" spans="2:30" x14ac:dyDescent="0.25">
      <c r="B31" s="23"/>
      <c r="C31" s="111">
        <v>2520</v>
      </c>
      <c r="D31" s="28">
        <f t="shared" si="1"/>
        <v>7</v>
      </c>
      <c r="E31" s="29">
        <f t="shared" si="1"/>
        <v>17</v>
      </c>
      <c r="F31" s="29">
        <f t="shared" si="1"/>
        <v>32</v>
      </c>
      <c r="G31" s="29">
        <f t="shared" si="1"/>
        <v>37</v>
      </c>
      <c r="H31" s="29">
        <f t="shared" si="1"/>
        <v>42</v>
      </c>
      <c r="I31" s="29">
        <f t="shared" si="1"/>
        <v>52</v>
      </c>
      <c r="J31" s="29">
        <f t="shared" si="1"/>
        <v>61</v>
      </c>
      <c r="K31" s="29">
        <f t="shared" si="1"/>
        <v>72</v>
      </c>
      <c r="L31" s="29">
        <f t="shared" si="1"/>
        <v>81</v>
      </c>
      <c r="M31" s="29">
        <f t="shared" si="1"/>
        <v>86</v>
      </c>
      <c r="N31" s="30">
        <f t="shared" si="1"/>
        <v>100</v>
      </c>
      <c r="O31" s="1"/>
      <c r="Q31" s="24"/>
      <c r="R31" s="327"/>
      <c r="S31" s="328"/>
      <c r="T31" s="328"/>
      <c r="U31" s="328"/>
      <c r="V31" s="328"/>
      <c r="W31" s="328"/>
      <c r="X31" s="328"/>
      <c r="Y31" s="22"/>
    </row>
    <row r="32" spans="2:30" x14ac:dyDescent="0.25">
      <c r="B32" s="23"/>
      <c r="C32" s="111">
        <v>3000</v>
      </c>
      <c r="D32" s="28">
        <f t="shared" si="1"/>
        <v>7</v>
      </c>
      <c r="E32" s="29">
        <f t="shared" si="1"/>
        <v>15</v>
      </c>
      <c r="F32" s="29">
        <f t="shared" si="1"/>
        <v>31</v>
      </c>
      <c r="G32" s="29">
        <f t="shared" si="1"/>
        <v>37</v>
      </c>
      <c r="H32" s="29">
        <f t="shared" si="1"/>
        <v>41</v>
      </c>
      <c r="I32" s="29">
        <f t="shared" si="1"/>
        <v>52</v>
      </c>
      <c r="J32" s="29">
        <f t="shared" si="1"/>
        <v>61</v>
      </c>
      <c r="K32" s="29">
        <f t="shared" si="1"/>
        <v>71</v>
      </c>
      <c r="L32" s="29">
        <f t="shared" si="1"/>
        <v>81</v>
      </c>
      <c r="M32" s="29">
        <f t="shared" si="1"/>
        <v>86</v>
      </c>
      <c r="N32" s="30">
        <f t="shared" si="1"/>
        <v>100</v>
      </c>
      <c r="O32" s="1"/>
      <c r="Q32" s="22"/>
      <c r="R32" s="22"/>
      <c r="S32" s="22"/>
      <c r="T32" s="22"/>
      <c r="U32" s="22"/>
      <c r="V32" s="22"/>
      <c r="W32" s="22"/>
      <c r="X32" s="22"/>
      <c r="Y32" s="22"/>
    </row>
    <row r="33" spans="2:104" x14ac:dyDescent="0.25">
      <c r="B33" s="23"/>
      <c r="C33" s="111">
        <v>3520</v>
      </c>
      <c r="D33" s="28">
        <f t="shared" si="1"/>
        <v>6</v>
      </c>
      <c r="E33" s="29">
        <f t="shared" si="1"/>
        <v>13</v>
      </c>
      <c r="F33" s="29">
        <f t="shared" si="1"/>
        <v>31</v>
      </c>
      <c r="G33" s="29">
        <f t="shared" si="1"/>
        <v>36</v>
      </c>
      <c r="H33" s="29">
        <f t="shared" si="1"/>
        <v>41</v>
      </c>
      <c r="I33" s="29">
        <f t="shared" si="1"/>
        <v>51</v>
      </c>
      <c r="J33" s="29">
        <f t="shared" si="1"/>
        <v>61</v>
      </c>
      <c r="K33" s="29">
        <f t="shared" si="1"/>
        <v>71</v>
      </c>
      <c r="L33" s="29">
        <f t="shared" si="1"/>
        <v>80</v>
      </c>
      <c r="M33" s="29">
        <f t="shared" si="1"/>
        <v>86</v>
      </c>
      <c r="N33" s="30">
        <f t="shared" si="1"/>
        <v>100</v>
      </c>
      <c r="O33" s="1"/>
      <c r="Q33" s="22"/>
      <c r="R33" s="93"/>
      <c r="S33" s="32" t="s">
        <v>2</v>
      </c>
      <c r="T33" s="330" t="s">
        <v>1</v>
      </c>
      <c r="U33" s="330"/>
      <c r="V33" s="330"/>
      <c r="W33" s="330"/>
      <c r="X33" s="330"/>
      <c r="Y33" s="22"/>
    </row>
    <row r="34" spans="2:104" x14ac:dyDescent="0.25">
      <c r="B34" s="23"/>
      <c r="C34" s="111">
        <v>4000</v>
      </c>
      <c r="D34" s="28">
        <f t="shared" si="1"/>
        <v>6</v>
      </c>
      <c r="E34" s="29">
        <f t="shared" si="1"/>
        <v>12</v>
      </c>
      <c r="F34" s="29">
        <f t="shared" si="1"/>
        <v>31</v>
      </c>
      <c r="G34" s="29">
        <f t="shared" si="1"/>
        <v>36</v>
      </c>
      <c r="H34" s="29">
        <f t="shared" si="1"/>
        <v>41</v>
      </c>
      <c r="I34" s="29">
        <f t="shared" si="1"/>
        <v>51</v>
      </c>
      <c r="J34" s="29">
        <f t="shared" si="1"/>
        <v>61</v>
      </c>
      <c r="K34" s="29">
        <f t="shared" si="1"/>
        <v>71</v>
      </c>
      <c r="L34" s="29">
        <f t="shared" si="1"/>
        <v>80</v>
      </c>
      <c r="M34" s="29">
        <f t="shared" si="1"/>
        <v>86</v>
      </c>
      <c r="N34" s="30">
        <f t="shared" si="1"/>
        <v>100</v>
      </c>
      <c r="O34" s="1"/>
      <c r="Q34" s="22"/>
      <c r="R34" s="22"/>
      <c r="S34" s="22"/>
      <c r="T34" s="22"/>
      <c r="U34" s="22"/>
      <c r="V34" s="22"/>
      <c r="W34" s="22"/>
      <c r="X34" s="22"/>
      <c r="Y34" s="1"/>
    </row>
    <row r="35" spans="2:104" x14ac:dyDescent="0.25">
      <c r="B35" s="23"/>
      <c r="C35" s="111">
        <v>4520</v>
      </c>
      <c r="D35" s="28">
        <f t="shared" si="1"/>
        <v>6</v>
      </c>
      <c r="E35" s="29">
        <f t="shared" si="1"/>
        <v>11</v>
      </c>
      <c r="F35" s="29">
        <f t="shared" si="1"/>
        <v>30</v>
      </c>
      <c r="G35" s="29">
        <f t="shared" si="1"/>
        <v>36</v>
      </c>
      <c r="H35" s="29">
        <f t="shared" si="1"/>
        <v>40</v>
      </c>
      <c r="I35" s="29">
        <f t="shared" si="1"/>
        <v>51</v>
      </c>
      <c r="J35" s="29">
        <f t="shared" si="1"/>
        <v>60</v>
      </c>
      <c r="K35" s="29">
        <f t="shared" si="1"/>
        <v>71</v>
      </c>
      <c r="L35" s="29">
        <f t="shared" si="1"/>
        <v>80</v>
      </c>
      <c r="M35" s="29">
        <f t="shared" si="1"/>
        <v>86</v>
      </c>
      <c r="N35" s="30">
        <f t="shared" si="1"/>
        <v>100</v>
      </c>
      <c r="O35" s="1"/>
    </row>
    <row r="36" spans="2:104" x14ac:dyDescent="0.25">
      <c r="B36" s="23"/>
      <c r="C36" s="111">
        <v>5000</v>
      </c>
      <c r="D36" s="28">
        <f t="shared" si="1"/>
        <v>5</v>
      </c>
      <c r="E36" s="29">
        <f t="shared" si="1"/>
        <v>10</v>
      </c>
      <c r="F36" s="29">
        <f t="shared" si="1"/>
        <v>31</v>
      </c>
      <c r="G36" s="29">
        <f t="shared" si="1"/>
        <v>37</v>
      </c>
      <c r="H36" s="29">
        <f t="shared" si="1"/>
        <v>42</v>
      </c>
      <c r="I36" s="29">
        <f t="shared" si="1"/>
        <v>52</v>
      </c>
      <c r="J36" s="29">
        <f t="shared" si="1"/>
        <v>62</v>
      </c>
      <c r="K36" s="29">
        <f t="shared" si="1"/>
        <v>73</v>
      </c>
      <c r="L36" s="29">
        <f t="shared" si="1"/>
        <v>83</v>
      </c>
      <c r="M36" s="29">
        <f t="shared" si="1"/>
        <v>89</v>
      </c>
      <c r="N36" s="30">
        <f t="shared" si="1"/>
        <v>100</v>
      </c>
      <c r="O36" s="1"/>
    </row>
    <row r="37" spans="2:104" x14ac:dyDescent="0.25">
      <c r="B37" s="23"/>
      <c r="C37" s="111">
        <v>5720</v>
      </c>
      <c r="D37" s="28">
        <f t="shared" si="1"/>
        <v>5</v>
      </c>
      <c r="E37" s="29">
        <f t="shared" si="1"/>
        <v>10</v>
      </c>
      <c r="F37" s="29">
        <f t="shared" si="1"/>
        <v>32</v>
      </c>
      <c r="G37" s="29">
        <f t="shared" si="1"/>
        <v>38</v>
      </c>
      <c r="H37" s="29">
        <f t="shared" si="1"/>
        <v>43</v>
      </c>
      <c r="I37" s="29">
        <f t="shared" si="1"/>
        <v>54</v>
      </c>
      <c r="J37" s="29">
        <f t="shared" si="1"/>
        <v>65</v>
      </c>
      <c r="K37" s="29">
        <f t="shared" si="1"/>
        <v>76</v>
      </c>
      <c r="L37" s="29">
        <f t="shared" si="1"/>
        <v>87</v>
      </c>
      <c r="M37" s="29">
        <f t="shared" si="1"/>
        <v>93</v>
      </c>
      <c r="N37" s="30">
        <f t="shared" si="1"/>
        <v>100</v>
      </c>
      <c r="O37" s="1"/>
    </row>
    <row r="38" spans="2:104" x14ac:dyDescent="0.25">
      <c r="B38" s="23"/>
      <c r="C38" s="111">
        <v>6000</v>
      </c>
      <c r="D38" s="28">
        <f t="shared" si="1"/>
        <v>5</v>
      </c>
      <c r="E38" s="29">
        <f t="shared" si="1"/>
        <v>10</v>
      </c>
      <c r="F38" s="29">
        <f t="shared" si="1"/>
        <v>32</v>
      </c>
      <c r="G38" s="29">
        <f t="shared" si="1"/>
        <v>38</v>
      </c>
      <c r="H38" s="29">
        <f t="shared" si="1"/>
        <v>44</v>
      </c>
      <c r="I38" s="29">
        <f t="shared" si="1"/>
        <v>55</v>
      </c>
      <c r="J38" s="29">
        <f t="shared" si="1"/>
        <v>66</v>
      </c>
      <c r="K38" s="29">
        <f t="shared" si="1"/>
        <v>77</v>
      </c>
      <c r="L38" s="29">
        <f t="shared" si="1"/>
        <v>88</v>
      </c>
      <c r="M38" s="29">
        <f t="shared" si="1"/>
        <v>94</v>
      </c>
      <c r="N38" s="30">
        <f t="shared" si="1"/>
        <v>100</v>
      </c>
      <c r="O38" s="1"/>
      <c r="R38" s="18"/>
      <c r="S38" s="18"/>
    </row>
    <row r="39" spans="2:104" ht="15.75" thickBot="1" x14ac:dyDescent="0.3">
      <c r="B39" s="23"/>
      <c r="C39" s="112">
        <v>6720</v>
      </c>
      <c r="D39" s="33">
        <f t="shared" si="1"/>
        <v>5</v>
      </c>
      <c r="E39" s="34">
        <f t="shared" si="1"/>
        <v>10</v>
      </c>
      <c r="F39" s="34">
        <f t="shared" si="1"/>
        <v>33</v>
      </c>
      <c r="G39" s="34">
        <f t="shared" si="1"/>
        <v>39</v>
      </c>
      <c r="H39" s="34">
        <f t="shared" si="1"/>
        <v>45</v>
      </c>
      <c r="I39" s="34">
        <f t="shared" si="1"/>
        <v>57</v>
      </c>
      <c r="J39" s="34">
        <f t="shared" si="1"/>
        <v>68</v>
      </c>
      <c r="K39" s="34">
        <f t="shared" si="1"/>
        <v>80</v>
      </c>
      <c r="L39" s="34">
        <f t="shared" si="1"/>
        <v>91</v>
      </c>
      <c r="M39" s="34">
        <f t="shared" si="1"/>
        <v>98</v>
      </c>
      <c r="N39" s="35">
        <f t="shared" si="1"/>
        <v>100</v>
      </c>
      <c r="O39" s="1"/>
    </row>
    <row r="40" spans="2:104" ht="15.75" customHeight="1" thickTop="1" x14ac:dyDescent="0.2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</row>
    <row r="42" spans="2:104" ht="31.5" hidden="1" customHeight="1" thickBot="1" x14ac:dyDescent="0.3">
      <c r="B42" s="375" t="s">
        <v>20</v>
      </c>
      <c r="C42" s="376"/>
      <c r="D42" s="376"/>
      <c r="E42" s="376"/>
      <c r="F42" s="376"/>
      <c r="G42" s="376"/>
      <c r="H42" s="376"/>
      <c r="I42" s="376"/>
      <c r="J42" s="376"/>
      <c r="K42" s="376"/>
      <c r="L42" s="376"/>
      <c r="M42" s="376"/>
      <c r="N42" s="376"/>
      <c r="O42" s="376"/>
      <c r="P42" s="376"/>
      <c r="Q42" s="376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</row>
    <row r="43" spans="2:104" ht="27.75" hidden="1" customHeight="1" thickTop="1" thickBot="1" x14ac:dyDescent="0.3">
      <c r="B43" s="1"/>
      <c r="C43" s="80" t="s">
        <v>16</v>
      </c>
      <c r="D43" s="79">
        <v>0</v>
      </c>
      <c r="E43" s="3">
        <v>1</v>
      </c>
      <c r="F43" s="3">
        <v>2</v>
      </c>
      <c r="G43" s="3">
        <v>3</v>
      </c>
      <c r="H43" s="3">
        <v>4</v>
      </c>
      <c r="I43" s="3">
        <v>5</v>
      </c>
      <c r="J43" s="3">
        <v>6</v>
      </c>
      <c r="K43" s="3">
        <v>7</v>
      </c>
      <c r="L43" s="3">
        <v>8</v>
      </c>
      <c r="M43" s="3">
        <v>9</v>
      </c>
      <c r="N43" s="3">
        <v>10</v>
      </c>
      <c r="O43" s="3">
        <v>11</v>
      </c>
      <c r="P43" s="3">
        <v>12</v>
      </c>
      <c r="Q43" s="3">
        <v>13</v>
      </c>
      <c r="R43" s="3">
        <v>14</v>
      </c>
      <c r="S43" s="3">
        <v>15</v>
      </c>
      <c r="T43" s="3">
        <v>16</v>
      </c>
      <c r="U43" s="3">
        <v>17</v>
      </c>
      <c r="V43" s="3">
        <v>18</v>
      </c>
      <c r="W43" s="3">
        <v>19</v>
      </c>
      <c r="X43" s="3">
        <v>20</v>
      </c>
      <c r="Y43" s="3">
        <v>21</v>
      </c>
      <c r="Z43" s="3">
        <v>22</v>
      </c>
      <c r="AA43" s="3">
        <v>23</v>
      </c>
      <c r="AB43" s="3">
        <v>24</v>
      </c>
      <c r="AC43" s="3">
        <v>25</v>
      </c>
      <c r="AD43" s="3">
        <v>26</v>
      </c>
      <c r="AE43" s="3">
        <v>27</v>
      </c>
      <c r="AF43" s="3">
        <v>28</v>
      </c>
      <c r="AG43" s="3">
        <v>29</v>
      </c>
      <c r="AH43" s="3">
        <v>30</v>
      </c>
      <c r="AI43" s="3">
        <v>31</v>
      </c>
      <c r="AJ43" s="3">
        <v>32</v>
      </c>
      <c r="AK43" s="3">
        <v>33</v>
      </c>
      <c r="AL43" s="3">
        <v>34</v>
      </c>
      <c r="AM43" s="3">
        <v>35</v>
      </c>
      <c r="AN43" s="3">
        <v>36</v>
      </c>
      <c r="AO43" s="3">
        <v>37</v>
      </c>
      <c r="AP43" s="3">
        <v>38</v>
      </c>
      <c r="AQ43" s="3">
        <v>39</v>
      </c>
      <c r="AR43" s="3">
        <v>40</v>
      </c>
      <c r="AS43" s="3">
        <v>41</v>
      </c>
      <c r="AT43" s="3">
        <v>42</v>
      </c>
      <c r="AU43" s="3">
        <v>43</v>
      </c>
      <c r="AV43" s="3">
        <v>44</v>
      </c>
      <c r="AW43" s="3">
        <v>45</v>
      </c>
      <c r="AX43" s="3">
        <v>46</v>
      </c>
      <c r="AY43" s="3">
        <v>47</v>
      </c>
      <c r="AZ43" s="3">
        <v>48</v>
      </c>
      <c r="BA43" s="3">
        <v>49</v>
      </c>
      <c r="BB43" s="3">
        <v>50</v>
      </c>
      <c r="BC43" s="3">
        <v>51</v>
      </c>
      <c r="BD43" s="3">
        <v>52</v>
      </c>
      <c r="BE43" s="3">
        <v>53</v>
      </c>
      <c r="BF43" s="3">
        <v>54</v>
      </c>
      <c r="BG43" s="3">
        <v>55</v>
      </c>
      <c r="BH43" s="3">
        <v>56</v>
      </c>
      <c r="BI43" s="3">
        <v>57</v>
      </c>
      <c r="BJ43" s="3">
        <v>58</v>
      </c>
      <c r="BK43" s="3">
        <v>59</v>
      </c>
      <c r="BL43" s="3">
        <v>60</v>
      </c>
      <c r="BM43" s="3">
        <v>61</v>
      </c>
      <c r="BN43" s="3">
        <v>62</v>
      </c>
      <c r="BO43" s="3">
        <v>63</v>
      </c>
      <c r="BP43" s="3">
        <v>64</v>
      </c>
      <c r="BQ43" s="3">
        <v>65</v>
      </c>
      <c r="BR43" s="3">
        <v>66</v>
      </c>
      <c r="BS43" s="3">
        <v>67</v>
      </c>
      <c r="BT43" s="3">
        <v>68</v>
      </c>
      <c r="BU43" s="3">
        <v>69</v>
      </c>
      <c r="BV43" s="3">
        <v>70</v>
      </c>
      <c r="BW43" s="3">
        <v>71</v>
      </c>
      <c r="BX43" s="3">
        <v>72</v>
      </c>
      <c r="BY43" s="3">
        <v>73</v>
      </c>
      <c r="BZ43" s="3">
        <v>74</v>
      </c>
      <c r="CA43" s="3">
        <v>75</v>
      </c>
      <c r="CB43" s="3">
        <v>76</v>
      </c>
      <c r="CC43" s="3">
        <v>77</v>
      </c>
      <c r="CD43" s="3">
        <v>78</v>
      </c>
      <c r="CE43" s="3">
        <v>79</v>
      </c>
      <c r="CF43" s="3">
        <v>80</v>
      </c>
      <c r="CG43" s="3">
        <v>81</v>
      </c>
      <c r="CH43" s="3">
        <v>82</v>
      </c>
      <c r="CI43" s="3">
        <v>83</v>
      </c>
      <c r="CJ43" s="3">
        <v>84</v>
      </c>
      <c r="CK43" s="3">
        <v>85</v>
      </c>
      <c r="CL43" s="3">
        <v>86</v>
      </c>
      <c r="CM43" s="3">
        <v>87</v>
      </c>
      <c r="CN43" s="3">
        <v>88</v>
      </c>
      <c r="CO43" s="3">
        <v>89</v>
      </c>
      <c r="CP43" s="3">
        <v>90</v>
      </c>
      <c r="CQ43" s="3">
        <v>91</v>
      </c>
      <c r="CR43" s="3">
        <v>92</v>
      </c>
      <c r="CS43" s="3">
        <v>93</v>
      </c>
      <c r="CT43" s="3">
        <v>94</v>
      </c>
      <c r="CU43" s="3">
        <v>95</v>
      </c>
      <c r="CV43" s="3">
        <v>96</v>
      </c>
      <c r="CW43" s="3">
        <v>97</v>
      </c>
      <c r="CX43" s="3">
        <v>98</v>
      </c>
      <c r="CY43" s="4">
        <v>99</v>
      </c>
      <c r="CZ43" s="1"/>
    </row>
    <row r="44" spans="2:104" ht="15.75" hidden="1" thickTop="1" x14ac:dyDescent="0.25">
      <c r="B44" s="58"/>
      <c r="C44" s="5">
        <f>C24</f>
        <v>480</v>
      </c>
      <c r="D44" s="84">
        <v>0</v>
      </c>
      <c r="E44" s="85">
        <f t="shared" ref="E44:E59" si="2">$D44+($I44-$D44)/5*1</f>
        <v>2.1440000000000001</v>
      </c>
      <c r="F44" s="85">
        <f t="shared" ref="F44:F59" si="3">$D44+($I44-$D44)/5*2</f>
        <v>4.2880000000000003</v>
      </c>
      <c r="G44" s="85">
        <f t="shared" ref="G44:G59" si="4">$D44+($I44-$D44)/5*3</f>
        <v>6.4320000000000004</v>
      </c>
      <c r="H44" s="85">
        <f t="shared" ref="H44:H59" si="5">$D44+($I44-$D44)/5*4</f>
        <v>8.5760000000000005</v>
      </c>
      <c r="I44" s="84">
        <v>10.72</v>
      </c>
      <c r="J44" s="85">
        <f t="shared" ref="J44:J59" si="6">$I44+($N44-$I44)/5*1</f>
        <v>12.72</v>
      </c>
      <c r="K44" s="85">
        <f t="shared" ref="K44:K59" si="7">$I44+($N44-$I44)/5*2</f>
        <v>14.719999999999999</v>
      </c>
      <c r="L44" s="85">
        <f t="shared" ref="L44:L59" si="8">$I44+($N44-$I44)/5*3</f>
        <v>16.72</v>
      </c>
      <c r="M44" s="85">
        <f t="shared" ref="M44:M59" si="9">$I44+($N44-$I44)/5*4</f>
        <v>18.72</v>
      </c>
      <c r="N44" s="84">
        <v>20.72</v>
      </c>
      <c r="O44" s="85">
        <f t="shared" ref="O44:O59" si="10">$N44+($S44-$N44)/5*1</f>
        <v>20.837119999999999</v>
      </c>
      <c r="P44" s="85">
        <f t="shared" ref="P44:P59" si="11">$N44+($S44-$N44)/5*2</f>
        <v>20.954239999999999</v>
      </c>
      <c r="Q44" s="85">
        <f t="shared" ref="Q44:Q59" si="12">$N44+($S44-$N44)/5*3</f>
        <v>21.071360000000002</v>
      </c>
      <c r="R44" s="85">
        <f t="shared" ref="R44:R59" si="13">$N44+($S44-$N44)/5*4</f>
        <v>21.188480000000002</v>
      </c>
      <c r="S44" s="84">
        <v>21.305600000000002</v>
      </c>
      <c r="T44" s="85">
        <f t="shared" ref="T44:T59" si="14">$S44+($X44-$S44)/5*1</f>
        <v>22.18946285714286</v>
      </c>
      <c r="U44" s="85">
        <f t="shared" ref="U44:U59" si="15">$S44+($X44-$S44)/5*2</f>
        <v>23.073325714285719</v>
      </c>
      <c r="V44" s="85">
        <f t="shared" ref="V44:V59" si="16">$S44+($X44-$S44)/5*3</f>
        <v>23.957188571428574</v>
      </c>
      <c r="W44" s="85">
        <f t="shared" ref="W44:W59" si="17">$S44+($X44-$S44)/5*4</f>
        <v>24.841051428571433</v>
      </c>
      <c r="X44" s="84">
        <v>25.724914285714291</v>
      </c>
      <c r="Y44" s="85">
        <f t="shared" ref="Y44:Y59" si="18">$X44+($AC44-$X44)/5*1</f>
        <v>26.890788571428576</v>
      </c>
      <c r="Z44" s="85">
        <f t="shared" ref="Z44:Z59" si="19">$X44+($AC44-$X44)/5*2</f>
        <v>28.056662857142861</v>
      </c>
      <c r="AA44" s="85">
        <f t="shared" ref="AA44:AA59" si="20">$X44+($AC44-$X44)/5*3</f>
        <v>29.222537142857149</v>
      </c>
      <c r="AB44" s="85">
        <f t="shared" ref="AB44:AB59" si="21">$X44+($AC44-$X44)/5*4</f>
        <v>30.388411428571434</v>
      </c>
      <c r="AC44" s="84">
        <v>31.554285714285719</v>
      </c>
      <c r="AD44" s="85">
        <f t="shared" ref="AD44:AD59" si="22">$AC44+($AH44-$AC44)/5*1</f>
        <v>33.18788571428572</v>
      </c>
      <c r="AE44" s="85">
        <f t="shared" ref="AE44:AE59" si="23">$AC44+($AH44-$AC44)/5*2</f>
        <v>34.821485714285721</v>
      </c>
      <c r="AF44" s="85">
        <f t="shared" ref="AF44:AF59" si="24">$AC44+($AH44-$AC44)/5*3</f>
        <v>36.455085714285715</v>
      </c>
      <c r="AG44" s="85">
        <f t="shared" ref="AG44:AG59" si="25">$AC44+($AH44-$AC44)/5*4</f>
        <v>38.088685714285717</v>
      </c>
      <c r="AH44" s="84">
        <v>39.722285714285718</v>
      </c>
      <c r="AI44" s="85">
        <f t="shared" ref="AI44:AI59" si="26">$AH44+($AM44-$AH44)/5*1</f>
        <v>41.355885714285719</v>
      </c>
      <c r="AJ44" s="85">
        <f t="shared" ref="AJ44:AJ59" si="27">$AH44+($AM44-$AH44)/5*2</f>
        <v>42.989485714285721</v>
      </c>
      <c r="AK44" s="85">
        <f t="shared" ref="AK44:AK59" si="28">$AH44+($AM44-$AH44)/5*3</f>
        <v>44.623085714285722</v>
      </c>
      <c r="AL44" s="85">
        <f t="shared" ref="AL44:AL59" si="29">$AH44+($AM44-$AH44)/5*4</f>
        <v>46.256685714285716</v>
      </c>
      <c r="AM44" s="84">
        <v>47.890285714285717</v>
      </c>
      <c r="AN44" s="85">
        <f t="shared" ref="AN44:AN59" si="30">$AM44+($AR44-$AM44)/5*1</f>
        <v>49.523885714285719</v>
      </c>
      <c r="AO44" s="85">
        <f t="shared" ref="AO44:AO59" si="31">$AM44+($AR44-$AM44)/5*2</f>
        <v>51.15748571428572</v>
      </c>
      <c r="AP44" s="85">
        <f t="shared" ref="AP44:AP59" si="32">$AM44+($AR44-$AM44)/5*3</f>
        <v>52.791085714285721</v>
      </c>
      <c r="AQ44" s="85">
        <f t="shared" ref="AQ44:AQ59" si="33">$AM44+($AR44-$AM44)/5*4</f>
        <v>54.424685714285722</v>
      </c>
      <c r="AR44" s="84">
        <v>56.058285714285724</v>
      </c>
      <c r="AS44" s="85">
        <f t="shared" ref="AS44:AS59" si="34">$AR44+($BB44-$AR44)/10*1</f>
        <v>57.691885714285725</v>
      </c>
      <c r="AT44" s="85">
        <f t="shared" ref="AT44:AT59" si="35">$AR44+($BB44-$AR44)/10*2</f>
        <v>59.325485714285719</v>
      </c>
      <c r="AU44" s="85">
        <f t="shared" ref="AU44:AU59" si="36">$AR44+($BB44-$AR44)/10*3</f>
        <v>60.95908571428572</v>
      </c>
      <c r="AV44" s="85">
        <f t="shared" ref="AV44:AV59" si="37">$AR44+($BB44-$AR44)/10*4</f>
        <v>62.592685714285722</v>
      </c>
      <c r="AW44" s="85">
        <f t="shared" ref="AW44:AW59" si="38">$AR44+($BB44-$AR44)/10*5</f>
        <v>64.226285714285723</v>
      </c>
      <c r="AX44" s="85">
        <f t="shared" ref="AX44:AX59" si="39">$AR44+($BB44-$AR44)/10*6</f>
        <v>65.859885714285724</v>
      </c>
      <c r="AY44" s="85">
        <f t="shared" ref="AY44:AY59" si="40">$AR44+($BB44-$AR44)/10*7</f>
        <v>67.493485714285711</v>
      </c>
      <c r="AZ44" s="85">
        <f t="shared" ref="AZ44:AZ59" si="41">$AR44+($BB44-$AR44)/10*8</f>
        <v>69.127085714285712</v>
      </c>
      <c r="BA44" s="85">
        <f t="shared" ref="BA44:BA59" si="42">$AR44+($BB44-$AR44)/10*9</f>
        <v>70.760685714285714</v>
      </c>
      <c r="BB44" s="84">
        <v>72.394285714285715</v>
      </c>
      <c r="BC44" s="85">
        <f t="shared" ref="BC44:BC59" si="43">$BB44+($BL44-$BB44)/10*1</f>
        <v>74.027885714285716</v>
      </c>
      <c r="BD44" s="85">
        <f t="shared" ref="BD44:BD59" si="44">$BB44+($BL44-$BB44)/10*2</f>
        <v>75.661485714285718</v>
      </c>
      <c r="BE44" s="85">
        <f t="shared" ref="BE44:BE59" si="45">$BB44+($BL44-$BB44)/10*3</f>
        <v>77.295085714285719</v>
      </c>
      <c r="BF44" s="85">
        <f t="shared" ref="BF44:BF59" si="46">$BB44+($BL44-$BB44)/10*4</f>
        <v>78.92868571428572</v>
      </c>
      <c r="BG44" s="85">
        <f t="shared" ref="BG44:BG59" si="47">$BB44+($BL44-$BB44)/10*5</f>
        <v>80.562285714285707</v>
      </c>
      <c r="BH44" s="85">
        <f t="shared" ref="BH44:BH59" si="48">$BB44+($BL44-$BB44)/10*6</f>
        <v>82.195885714285708</v>
      </c>
      <c r="BI44" s="85">
        <f t="shared" ref="BI44:BI59" si="49">$BB44+($BL44-$BB44)/10*7</f>
        <v>83.82948571428571</v>
      </c>
      <c r="BJ44" s="85">
        <f t="shared" ref="BJ44:BJ59" si="50">$BB44+($BL44-$BB44)/10*8</f>
        <v>85.463085714285711</v>
      </c>
      <c r="BK44" s="85">
        <f t="shared" ref="BK44:BK59" si="51">$BB44+($BL44-$BB44)/10*9</f>
        <v>87.096685714285712</v>
      </c>
      <c r="BL44" s="84">
        <v>88.730285714285714</v>
      </c>
      <c r="BM44" s="85">
        <f t="shared" ref="BM44:BM59" si="52">$BL44+($BV44-$BL44)/10*1</f>
        <v>90.363885714285715</v>
      </c>
      <c r="BN44" s="85">
        <f t="shared" ref="BN44:BN59" si="53">$BL44+($BV44-$BL44)/10*2</f>
        <v>91.997485714285716</v>
      </c>
      <c r="BO44" s="85">
        <f t="shared" ref="BO44:BO59" si="54">$BL44+($BV44-$BL44)/10*3</f>
        <v>93.631085714285717</v>
      </c>
      <c r="BP44" s="85">
        <f t="shared" ref="BP44:BP59" si="55">$BL44+($BV44-$BL44)/10*4</f>
        <v>95.264685714285719</v>
      </c>
      <c r="BQ44" s="85">
        <f t="shared" ref="BQ44:BQ59" si="56">$BL44+($BV44-$BL44)/10*5</f>
        <v>96.89828571428572</v>
      </c>
      <c r="BR44" s="85">
        <f t="shared" ref="BR44:BR59" si="57">$BL44+($BV44-$BL44)/10*6</f>
        <v>98.531885714285721</v>
      </c>
      <c r="BS44" s="85">
        <f t="shared" ref="BS44:BS59" si="58">$BL44+($BV44-$BL44)/10*7</f>
        <v>100.16548571428571</v>
      </c>
      <c r="BT44" s="85">
        <f t="shared" ref="BT44:BT59" si="59">$BL44+($BV44-$BL44)/10*8</f>
        <v>101.79908571428571</v>
      </c>
      <c r="BU44" s="85">
        <f t="shared" ref="BU44:BU59" si="60">$BL44+($BV44-$BL44)/10*9</f>
        <v>103.43268571428571</v>
      </c>
      <c r="BV44" s="84">
        <v>105.06628571428571</v>
      </c>
      <c r="BW44" s="85">
        <f t="shared" ref="BW44:BW59" si="61">$BV44+($CA44-$BV44)/5*1</f>
        <v>106.69988571428571</v>
      </c>
      <c r="BX44" s="85">
        <f t="shared" ref="BX44:BX59" si="62">$BV44+($CA44-$BV44)/5*2</f>
        <v>108.33348571428571</v>
      </c>
      <c r="BY44" s="85">
        <f t="shared" ref="BY44:BY59" si="63">$BV44+($CA44-$BV44)/5*3</f>
        <v>109.96708571428572</v>
      </c>
      <c r="BZ44" s="85">
        <f t="shared" ref="BZ44:BZ59" si="64">$BV44+($CA44-$BV44)/5*4</f>
        <v>111.60068571428572</v>
      </c>
      <c r="CA44" s="84">
        <v>113.23428571428572</v>
      </c>
      <c r="CB44" s="85">
        <f t="shared" ref="CB44:CB59" si="65">$CA44+($CF44-$CA44)/5*1</f>
        <v>114.86788571428572</v>
      </c>
      <c r="CC44" s="85">
        <f t="shared" ref="CC44:CC59" si="66">$CA44+($CF44-$CA44)/5*2</f>
        <v>116.50148571428572</v>
      </c>
      <c r="CD44" s="85">
        <f t="shared" ref="CD44:CD59" si="67">$CA44+($CF44-$CA44)/5*3</f>
        <v>118.13508571428572</v>
      </c>
      <c r="CE44" s="85">
        <f t="shared" ref="CE44:CE59" si="68">$CA44+($CF44-$CA44)/5*4</f>
        <v>119.76868571428572</v>
      </c>
      <c r="CF44" s="84">
        <v>121.40228571428572</v>
      </c>
      <c r="CG44" s="85">
        <f t="shared" ref="CG44:CG59" si="69">$CF44+($CK44-$CF44)/5*1</f>
        <v>123.03588571428573</v>
      </c>
      <c r="CH44" s="85">
        <f t="shared" ref="CH44:CH59" si="70">$CF44+($CK44-$CF44)/5*2</f>
        <v>124.66948571428573</v>
      </c>
      <c r="CI44" s="85">
        <f t="shared" ref="CI44:CI59" si="71">$CF44+($CK44-$CF44)/5*3</f>
        <v>126.30308571428571</v>
      </c>
      <c r="CJ44" s="85">
        <f t="shared" ref="CJ44:CJ59" si="72">$CF44+($CK44-$CF44)/5*4</f>
        <v>127.93668571428572</v>
      </c>
      <c r="CK44" s="84">
        <v>129.57028571428572</v>
      </c>
      <c r="CL44" s="85">
        <f t="shared" ref="CL44:CL59" si="73">$CK44+($CY44-$CK44)/14*1</f>
        <v>131.20388571428572</v>
      </c>
      <c r="CM44" s="85">
        <f t="shared" ref="CM44:CM59" si="74">$CK44+($CY44-$CK44)/14*2</f>
        <v>132.83748571428572</v>
      </c>
      <c r="CN44" s="85">
        <f t="shared" ref="CN44:CN59" si="75">$CK44+($CY44-$CK44)/14*3</f>
        <v>134.47108571428572</v>
      </c>
      <c r="CO44" s="85">
        <f t="shared" ref="CO44:CO59" si="76">$CK44+($CY44-$CK44)/14*4</f>
        <v>136.10468571428572</v>
      </c>
      <c r="CP44" s="85">
        <f t="shared" ref="CP44:CP59" si="77">$CK44+($CY44-$CK44)/14*5</f>
        <v>137.73828571428572</v>
      </c>
      <c r="CQ44" s="85">
        <f t="shared" ref="CQ44:CQ59" si="78">$CK44+($CY44-$CK44)/14*6</f>
        <v>139.37188571428572</v>
      </c>
      <c r="CR44" s="85">
        <f t="shared" ref="CR44:CR59" si="79">$CK44+($CY44-$CK44)/14*7</f>
        <v>141.00548571428573</v>
      </c>
      <c r="CS44" s="85">
        <f t="shared" ref="CS44:CS59" si="80">$CK44+($CY44-$CK44)/14*8</f>
        <v>142.63908571428573</v>
      </c>
      <c r="CT44" s="85">
        <f t="shared" ref="CT44:CT59" si="81">$CK44+($CY44-$CK44)/14*9</f>
        <v>144.27268571428573</v>
      </c>
      <c r="CU44" s="85">
        <f t="shared" ref="CU44:CU59" si="82">$CK44+($CY44-$CK44)/14*10</f>
        <v>145.90628571428573</v>
      </c>
      <c r="CV44" s="85">
        <f t="shared" ref="CV44:CV59" si="83">$CK44+($CY44-$CK44)/14*11</f>
        <v>147.53988571428573</v>
      </c>
      <c r="CW44" s="85">
        <f t="shared" ref="CW44:CW59" si="84">$CK44+($CY44-$CK44)/14*12</f>
        <v>149.17348571428573</v>
      </c>
      <c r="CX44" s="85">
        <f t="shared" ref="CX44:CX59" si="85">$CK44+($CY44-$CK44)/14*13</f>
        <v>150.80708571428573</v>
      </c>
      <c r="CY44" s="86">
        <v>152.44068571428573</v>
      </c>
      <c r="CZ44" s="1"/>
    </row>
    <row r="45" spans="2:104" hidden="1" x14ac:dyDescent="0.25">
      <c r="B45" s="58"/>
      <c r="C45" s="77">
        <f t="shared" ref="C45:C59" si="86">C25</f>
        <v>720</v>
      </c>
      <c r="D45" s="87">
        <v>0</v>
      </c>
      <c r="E45" s="88">
        <f t="shared" si="2"/>
        <v>2.2160000000000002</v>
      </c>
      <c r="F45" s="88">
        <f t="shared" si="3"/>
        <v>4.4320000000000004</v>
      </c>
      <c r="G45" s="88">
        <f t="shared" si="4"/>
        <v>6.6480000000000006</v>
      </c>
      <c r="H45" s="88">
        <f t="shared" si="5"/>
        <v>8.8640000000000008</v>
      </c>
      <c r="I45" s="87">
        <v>11.08</v>
      </c>
      <c r="J45" s="88">
        <f t="shared" si="6"/>
        <v>13.08</v>
      </c>
      <c r="K45" s="88">
        <f t="shared" si="7"/>
        <v>15.079999999999998</v>
      </c>
      <c r="L45" s="88">
        <f t="shared" si="8"/>
        <v>17.079999999999998</v>
      </c>
      <c r="M45" s="88">
        <f t="shared" si="9"/>
        <v>19.079999999999998</v>
      </c>
      <c r="N45" s="87">
        <v>21.08</v>
      </c>
      <c r="O45" s="88">
        <f t="shared" si="10"/>
        <v>21.22512</v>
      </c>
      <c r="P45" s="88">
        <f t="shared" si="11"/>
        <v>21.370239999999999</v>
      </c>
      <c r="Q45" s="88">
        <f t="shared" si="12"/>
        <v>21.515360000000001</v>
      </c>
      <c r="R45" s="88">
        <f t="shared" si="13"/>
        <v>21.66048</v>
      </c>
      <c r="S45" s="87">
        <v>21.805600000000002</v>
      </c>
      <c r="T45" s="88">
        <f t="shared" si="14"/>
        <v>22.668034285714288</v>
      </c>
      <c r="U45" s="88">
        <f t="shared" si="15"/>
        <v>23.530468571428575</v>
      </c>
      <c r="V45" s="88">
        <f t="shared" si="16"/>
        <v>24.392902857142861</v>
      </c>
      <c r="W45" s="88">
        <f t="shared" si="17"/>
        <v>25.255337142857147</v>
      </c>
      <c r="X45" s="87">
        <v>26.117771428571434</v>
      </c>
      <c r="Y45" s="88">
        <f t="shared" si="18"/>
        <v>27.276502857142862</v>
      </c>
      <c r="Z45" s="88">
        <f t="shared" si="19"/>
        <v>28.435234285714291</v>
      </c>
      <c r="AA45" s="88">
        <f t="shared" si="20"/>
        <v>29.593965714285719</v>
      </c>
      <c r="AB45" s="88">
        <f t="shared" si="21"/>
        <v>30.752697142857148</v>
      </c>
      <c r="AC45" s="87">
        <v>31.911428571428576</v>
      </c>
      <c r="AD45" s="88">
        <f t="shared" si="22"/>
        <v>33.545028571428574</v>
      </c>
      <c r="AE45" s="88">
        <f t="shared" si="23"/>
        <v>35.178628571428575</v>
      </c>
      <c r="AF45" s="88">
        <f t="shared" si="24"/>
        <v>36.812228571428577</v>
      </c>
      <c r="AG45" s="88">
        <f t="shared" si="25"/>
        <v>38.445828571428571</v>
      </c>
      <c r="AH45" s="87">
        <v>40.079428571428572</v>
      </c>
      <c r="AI45" s="88">
        <f t="shared" si="26"/>
        <v>41.713028571428573</v>
      </c>
      <c r="AJ45" s="88">
        <f t="shared" si="27"/>
        <v>43.346628571428575</v>
      </c>
      <c r="AK45" s="88">
        <f t="shared" si="28"/>
        <v>44.980228571428569</v>
      </c>
      <c r="AL45" s="88">
        <f t="shared" si="29"/>
        <v>46.61382857142857</v>
      </c>
      <c r="AM45" s="87">
        <v>48.247428571428571</v>
      </c>
      <c r="AN45" s="88">
        <f t="shared" si="30"/>
        <v>49.881028571428573</v>
      </c>
      <c r="AO45" s="88">
        <f t="shared" si="31"/>
        <v>51.514628571428574</v>
      </c>
      <c r="AP45" s="88">
        <f t="shared" si="32"/>
        <v>53.148228571428575</v>
      </c>
      <c r="AQ45" s="88">
        <f t="shared" si="33"/>
        <v>54.781828571428576</v>
      </c>
      <c r="AR45" s="87">
        <v>56.415428571428578</v>
      </c>
      <c r="AS45" s="88">
        <f t="shared" si="34"/>
        <v>58.049028571428579</v>
      </c>
      <c r="AT45" s="88">
        <f t="shared" si="35"/>
        <v>59.68262857142858</v>
      </c>
      <c r="AU45" s="88">
        <f t="shared" si="36"/>
        <v>61.316228571428582</v>
      </c>
      <c r="AV45" s="88">
        <f t="shared" si="37"/>
        <v>62.949828571428576</v>
      </c>
      <c r="AW45" s="88">
        <f t="shared" si="38"/>
        <v>64.583428571428584</v>
      </c>
      <c r="AX45" s="88">
        <f t="shared" si="39"/>
        <v>66.217028571428585</v>
      </c>
      <c r="AY45" s="88">
        <f t="shared" si="40"/>
        <v>67.850628571428572</v>
      </c>
      <c r="AZ45" s="88">
        <f t="shared" si="41"/>
        <v>69.484228571428574</v>
      </c>
      <c r="BA45" s="88">
        <f t="shared" si="42"/>
        <v>71.117828571428575</v>
      </c>
      <c r="BB45" s="87">
        <v>72.751428571428576</v>
      </c>
      <c r="BC45" s="88">
        <f t="shared" si="43"/>
        <v>74.385028571428577</v>
      </c>
      <c r="BD45" s="88">
        <f t="shared" si="44"/>
        <v>76.018628571428579</v>
      </c>
      <c r="BE45" s="88">
        <f t="shared" si="45"/>
        <v>77.65222857142858</v>
      </c>
      <c r="BF45" s="88">
        <f t="shared" si="46"/>
        <v>79.285828571428581</v>
      </c>
      <c r="BG45" s="88">
        <f t="shared" si="47"/>
        <v>80.919428571428568</v>
      </c>
      <c r="BH45" s="88">
        <f t="shared" si="48"/>
        <v>82.55302857142857</v>
      </c>
      <c r="BI45" s="88">
        <f t="shared" si="49"/>
        <v>84.186628571428571</v>
      </c>
      <c r="BJ45" s="88">
        <f t="shared" si="50"/>
        <v>85.820228571428572</v>
      </c>
      <c r="BK45" s="88">
        <f t="shared" si="51"/>
        <v>87.453828571428573</v>
      </c>
      <c r="BL45" s="87">
        <v>89.087428571428575</v>
      </c>
      <c r="BM45" s="88">
        <f t="shared" si="52"/>
        <v>90.721028571428576</v>
      </c>
      <c r="BN45" s="88">
        <f t="shared" si="53"/>
        <v>92.354628571428577</v>
      </c>
      <c r="BO45" s="88">
        <f t="shared" si="54"/>
        <v>93.988228571428579</v>
      </c>
      <c r="BP45" s="88">
        <f t="shared" si="55"/>
        <v>95.62182857142858</v>
      </c>
      <c r="BQ45" s="88">
        <f t="shared" si="56"/>
        <v>97.255428571428581</v>
      </c>
      <c r="BR45" s="88">
        <f t="shared" si="57"/>
        <v>98.889028571428582</v>
      </c>
      <c r="BS45" s="88">
        <f t="shared" si="58"/>
        <v>100.52262857142857</v>
      </c>
      <c r="BT45" s="88">
        <f t="shared" si="59"/>
        <v>102.15622857142857</v>
      </c>
      <c r="BU45" s="88">
        <f t="shared" si="60"/>
        <v>103.78982857142857</v>
      </c>
      <c r="BV45" s="87">
        <v>105.42342857142857</v>
      </c>
      <c r="BW45" s="88">
        <f t="shared" si="61"/>
        <v>107.05702857142857</v>
      </c>
      <c r="BX45" s="88">
        <f t="shared" si="62"/>
        <v>108.69062857142858</v>
      </c>
      <c r="BY45" s="88">
        <f t="shared" si="63"/>
        <v>110.32422857142858</v>
      </c>
      <c r="BZ45" s="88">
        <f t="shared" si="64"/>
        <v>111.95782857142858</v>
      </c>
      <c r="CA45" s="87">
        <v>113.59142857142858</v>
      </c>
      <c r="CB45" s="88">
        <f t="shared" si="65"/>
        <v>115.22502857142858</v>
      </c>
      <c r="CC45" s="88">
        <f t="shared" si="66"/>
        <v>116.85862857142858</v>
      </c>
      <c r="CD45" s="88">
        <f t="shared" si="67"/>
        <v>118.49222857142858</v>
      </c>
      <c r="CE45" s="88">
        <f t="shared" si="68"/>
        <v>120.12582857142858</v>
      </c>
      <c r="CF45" s="87">
        <v>121.75942857142859</v>
      </c>
      <c r="CG45" s="88">
        <f t="shared" si="69"/>
        <v>123.39302857142859</v>
      </c>
      <c r="CH45" s="88">
        <f t="shared" si="70"/>
        <v>125.02662857142859</v>
      </c>
      <c r="CI45" s="88">
        <f t="shared" si="71"/>
        <v>126.66022857142858</v>
      </c>
      <c r="CJ45" s="88">
        <f t="shared" si="72"/>
        <v>128.29382857142858</v>
      </c>
      <c r="CK45" s="87">
        <v>129.92742857142858</v>
      </c>
      <c r="CL45" s="88">
        <f t="shared" si="73"/>
        <v>131.56102857142858</v>
      </c>
      <c r="CM45" s="88">
        <f t="shared" si="74"/>
        <v>133.19462857142858</v>
      </c>
      <c r="CN45" s="88">
        <f t="shared" si="75"/>
        <v>134.82822857142858</v>
      </c>
      <c r="CO45" s="88">
        <f t="shared" si="76"/>
        <v>136.46182857142858</v>
      </c>
      <c r="CP45" s="88">
        <f t="shared" si="77"/>
        <v>138.09542857142858</v>
      </c>
      <c r="CQ45" s="88">
        <f t="shared" si="78"/>
        <v>139.72902857142859</v>
      </c>
      <c r="CR45" s="88">
        <f t="shared" si="79"/>
        <v>141.36262857142859</v>
      </c>
      <c r="CS45" s="88">
        <f t="shared" si="80"/>
        <v>142.99622857142859</v>
      </c>
      <c r="CT45" s="88">
        <f t="shared" si="81"/>
        <v>144.62982857142859</v>
      </c>
      <c r="CU45" s="88">
        <f t="shared" si="82"/>
        <v>146.26342857142859</v>
      </c>
      <c r="CV45" s="88">
        <f t="shared" si="83"/>
        <v>147.89702857142859</v>
      </c>
      <c r="CW45" s="88">
        <f t="shared" si="84"/>
        <v>149.53062857142859</v>
      </c>
      <c r="CX45" s="88">
        <f t="shared" si="85"/>
        <v>151.16422857142859</v>
      </c>
      <c r="CY45" s="89">
        <v>152.7978285714286</v>
      </c>
      <c r="CZ45" s="1"/>
    </row>
    <row r="46" spans="2:104" hidden="1" x14ac:dyDescent="0.25">
      <c r="B46" s="58"/>
      <c r="C46" s="77">
        <f t="shared" si="86"/>
        <v>1000</v>
      </c>
      <c r="D46" s="87">
        <v>0</v>
      </c>
      <c r="E46" s="88">
        <f t="shared" si="2"/>
        <v>2.2999999999999998</v>
      </c>
      <c r="F46" s="88">
        <f t="shared" si="3"/>
        <v>4.5999999999999996</v>
      </c>
      <c r="G46" s="88">
        <f t="shared" si="4"/>
        <v>6.8999999999999995</v>
      </c>
      <c r="H46" s="88">
        <f t="shared" si="5"/>
        <v>9.1999999999999993</v>
      </c>
      <c r="I46" s="87">
        <v>11.5</v>
      </c>
      <c r="J46" s="88">
        <f t="shared" si="6"/>
        <v>13.5</v>
      </c>
      <c r="K46" s="88">
        <f t="shared" si="7"/>
        <v>15.5</v>
      </c>
      <c r="L46" s="88">
        <f t="shared" si="8"/>
        <v>17.5</v>
      </c>
      <c r="M46" s="88">
        <f t="shared" si="9"/>
        <v>19.5</v>
      </c>
      <c r="N46" s="87">
        <v>21.5</v>
      </c>
      <c r="O46" s="88">
        <f t="shared" si="10"/>
        <v>21.677786666666666</v>
      </c>
      <c r="P46" s="88">
        <f t="shared" si="11"/>
        <v>21.855573333333332</v>
      </c>
      <c r="Q46" s="88">
        <f t="shared" si="12"/>
        <v>22.033360000000002</v>
      </c>
      <c r="R46" s="88">
        <f t="shared" si="13"/>
        <v>22.211146666666668</v>
      </c>
      <c r="S46" s="87">
        <v>22.388933333333334</v>
      </c>
      <c r="T46" s="88">
        <f t="shared" si="14"/>
        <v>23.226367619047622</v>
      </c>
      <c r="U46" s="88">
        <f t="shared" si="15"/>
        <v>24.063801904761906</v>
      </c>
      <c r="V46" s="88">
        <f t="shared" si="16"/>
        <v>24.901236190476194</v>
      </c>
      <c r="W46" s="88">
        <f t="shared" si="17"/>
        <v>25.738670476190478</v>
      </c>
      <c r="X46" s="87">
        <v>26.576104761904766</v>
      </c>
      <c r="Y46" s="88">
        <f t="shared" si="18"/>
        <v>27.726502857142862</v>
      </c>
      <c r="Z46" s="88">
        <f t="shared" si="19"/>
        <v>28.876900952380957</v>
      </c>
      <c r="AA46" s="88">
        <f t="shared" si="20"/>
        <v>30.027299047619053</v>
      </c>
      <c r="AB46" s="88">
        <f t="shared" si="21"/>
        <v>31.177697142857149</v>
      </c>
      <c r="AC46" s="87">
        <v>32.328095238095244</v>
      </c>
      <c r="AD46" s="88">
        <f t="shared" si="22"/>
        <v>33.961695238095245</v>
      </c>
      <c r="AE46" s="88">
        <f t="shared" si="23"/>
        <v>35.595295238095247</v>
      </c>
      <c r="AF46" s="88">
        <f t="shared" si="24"/>
        <v>37.228895238095248</v>
      </c>
      <c r="AG46" s="88">
        <f t="shared" si="25"/>
        <v>38.862495238095242</v>
      </c>
      <c r="AH46" s="87">
        <v>40.496095238095243</v>
      </c>
      <c r="AI46" s="88">
        <f t="shared" si="26"/>
        <v>42.129695238095245</v>
      </c>
      <c r="AJ46" s="88">
        <f t="shared" si="27"/>
        <v>43.763295238095246</v>
      </c>
      <c r="AK46" s="88">
        <f t="shared" si="28"/>
        <v>45.39689523809524</v>
      </c>
      <c r="AL46" s="88">
        <f t="shared" si="29"/>
        <v>47.030495238095241</v>
      </c>
      <c r="AM46" s="87">
        <v>48.664095238095243</v>
      </c>
      <c r="AN46" s="88">
        <f t="shared" si="30"/>
        <v>50.297695238095244</v>
      </c>
      <c r="AO46" s="88">
        <f t="shared" si="31"/>
        <v>51.931295238095245</v>
      </c>
      <c r="AP46" s="88">
        <f t="shared" si="32"/>
        <v>53.564895238095247</v>
      </c>
      <c r="AQ46" s="88">
        <f t="shared" si="33"/>
        <v>55.198495238095248</v>
      </c>
      <c r="AR46" s="87">
        <v>56.832095238095249</v>
      </c>
      <c r="AS46" s="88">
        <f t="shared" si="34"/>
        <v>58.46569523809525</v>
      </c>
      <c r="AT46" s="88">
        <f t="shared" si="35"/>
        <v>60.099295238095252</v>
      </c>
      <c r="AU46" s="88">
        <f t="shared" si="36"/>
        <v>61.732895238095253</v>
      </c>
      <c r="AV46" s="88">
        <f t="shared" si="37"/>
        <v>63.366495238095247</v>
      </c>
      <c r="AW46" s="88">
        <f t="shared" si="38"/>
        <v>65.000095238095241</v>
      </c>
      <c r="AX46" s="88">
        <f t="shared" si="39"/>
        <v>66.633695238095243</v>
      </c>
      <c r="AY46" s="88">
        <f t="shared" si="40"/>
        <v>68.267295238095244</v>
      </c>
      <c r="AZ46" s="88">
        <f t="shared" si="41"/>
        <v>69.900895238095245</v>
      </c>
      <c r="BA46" s="88">
        <f t="shared" si="42"/>
        <v>71.534495238095246</v>
      </c>
      <c r="BB46" s="87">
        <v>73.168095238095248</v>
      </c>
      <c r="BC46" s="88">
        <f t="shared" si="43"/>
        <v>74.801695238095249</v>
      </c>
      <c r="BD46" s="88">
        <f t="shared" si="44"/>
        <v>76.43529523809525</v>
      </c>
      <c r="BE46" s="88">
        <f t="shared" si="45"/>
        <v>78.068895238095251</v>
      </c>
      <c r="BF46" s="88">
        <f t="shared" si="46"/>
        <v>79.702495238095253</v>
      </c>
      <c r="BG46" s="88">
        <f t="shared" si="47"/>
        <v>81.336095238095254</v>
      </c>
      <c r="BH46" s="88">
        <f t="shared" si="48"/>
        <v>82.969695238095255</v>
      </c>
      <c r="BI46" s="88">
        <f t="shared" si="49"/>
        <v>84.603295238095242</v>
      </c>
      <c r="BJ46" s="88">
        <f t="shared" si="50"/>
        <v>86.236895238095244</v>
      </c>
      <c r="BK46" s="88">
        <f t="shared" si="51"/>
        <v>87.870495238095245</v>
      </c>
      <c r="BL46" s="87">
        <v>89.504095238095246</v>
      </c>
      <c r="BM46" s="88">
        <f t="shared" si="52"/>
        <v>91.137695238095247</v>
      </c>
      <c r="BN46" s="88">
        <f t="shared" si="53"/>
        <v>92.771295238095249</v>
      </c>
      <c r="BO46" s="88">
        <f t="shared" si="54"/>
        <v>94.40489523809525</v>
      </c>
      <c r="BP46" s="88">
        <f t="shared" si="55"/>
        <v>96.038495238095251</v>
      </c>
      <c r="BQ46" s="88">
        <f t="shared" si="56"/>
        <v>97.672095238095238</v>
      </c>
      <c r="BR46" s="88">
        <f t="shared" si="57"/>
        <v>99.30569523809524</v>
      </c>
      <c r="BS46" s="88">
        <f t="shared" si="58"/>
        <v>100.93929523809524</v>
      </c>
      <c r="BT46" s="88">
        <f t="shared" si="59"/>
        <v>102.57289523809524</v>
      </c>
      <c r="BU46" s="88">
        <f t="shared" si="60"/>
        <v>104.20649523809524</v>
      </c>
      <c r="BV46" s="87">
        <v>105.84009523809524</v>
      </c>
      <c r="BW46" s="88">
        <f t="shared" si="61"/>
        <v>107.47369523809525</v>
      </c>
      <c r="BX46" s="88">
        <f t="shared" si="62"/>
        <v>109.10729523809525</v>
      </c>
      <c r="BY46" s="88">
        <f t="shared" si="63"/>
        <v>110.74089523809525</v>
      </c>
      <c r="BZ46" s="88">
        <f t="shared" si="64"/>
        <v>112.37449523809525</v>
      </c>
      <c r="CA46" s="87">
        <v>114.00809523809525</v>
      </c>
      <c r="CB46" s="88">
        <f t="shared" si="65"/>
        <v>115.64169523809525</v>
      </c>
      <c r="CC46" s="88">
        <f t="shared" si="66"/>
        <v>117.27529523809525</v>
      </c>
      <c r="CD46" s="88">
        <f t="shared" si="67"/>
        <v>118.90889523809525</v>
      </c>
      <c r="CE46" s="88">
        <f t="shared" si="68"/>
        <v>120.54249523809526</v>
      </c>
      <c r="CF46" s="87">
        <v>122.17609523809526</v>
      </c>
      <c r="CG46" s="88">
        <f t="shared" si="69"/>
        <v>123.80969523809526</v>
      </c>
      <c r="CH46" s="88">
        <f t="shared" si="70"/>
        <v>125.44329523809525</v>
      </c>
      <c r="CI46" s="88">
        <f t="shared" si="71"/>
        <v>127.07689523809525</v>
      </c>
      <c r="CJ46" s="88">
        <f t="shared" si="72"/>
        <v>128.71049523809523</v>
      </c>
      <c r="CK46" s="87">
        <v>130.34409523809524</v>
      </c>
      <c r="CL46" s="88">
        <f t="shared" si="73"/>
        <v>131.97769523809524</v>
      </c>
      <c r="CM46" s="88">
        <f t="shared" si="74"/>
        <v>133.61129523809524</v>
      </c>
      <c r="CN46" s="88">
        <f t="shared" si="75"/>
        <v>135.24489523809524</v>
      </c>
      <c r="CO46" s="88">
        <f t="shared" si="76"/>
        <v>136.87849523809524</v>
      </c>
      <c r="CP46" s="88">
        <f t="shared" si="77"/>
        <v>138.51209523809524</v>
      </c>
      <c r="CQ46" s="88">
        <f t="shared" si="78"/>
        <v>140.14569523809524</v>
      </c>
      <c r="CR46" s="88">
        <f t="shared" si="79"/>
        <v>141.77929523809524</v>
      </c>
      <c r="CS46" s="88">
        <f t="shared" si="80"/>
        <v>143.41289523809525</v>
      </c>
      <c r="CT46" s="88">
        <f t="shared" si="81"/>
        <v>145.04649523809525</v>
      </c>
      <c r="CU46" s="88">
        <f t="shared" si="82"/>
        <v>146.68009523809525</v>
      </c>
      <c r="CV46" s="88">
        <f t="shared" si="83"/>
        <v>148.31369523809525</v>
      </c>
      <c r="CW46" s="88">
        <f t="shared" si="84"/>
        <v>149.94729523809525</v>
      </c>
      <c r="CX46" s="88">
        <f t="shared" si="85"/>
        <v>151.58089523809525</v>
      </c>
      <c r="CY46" s="89">
        <v>153.21449523809525</v>
      </c>
      <c r="CZ46" s="1"/>
    </row>
    <row r="47" spans="2:104" hidden="1" x14ac:dyDescent="0.25">
      <c r="B47" s="58"/>
      <c r="C47" s="77">
        <f t="shared" si="86"/>
        <v>1240</v>
      </c>
      <c r="D47" s="87">
        <v>0</v>
      </c>
      <c r="E47" s="88">
        <f t="shared" si="2"/>
        <v>2.3720132380952377</v>
      </c>
      <c r="F47" s="88">
        <f t="shared" si="3"/>
        <v>4.7440264761904753</v>
      </c>
      <c r="G47" s="88">
        <f t="shared" si="4"/>
        <v>7.116039714285713</v>
      </c>
      <c r="H47" s="88">
        <f t="shared" si="5"/>
        <v>9.4880529523809507</v>
      </c>
      <c r="I47" s="87">
        <v>11.860066190476189</v>
      </c>
      <c r="J47" s="88">
        <f t="shared" si="6"/>
        <v>13.868234190476189</v>
      </c>
      <c r="K47" s="88">
        <f t="shared" si="7"/>
        <v>15.876402190476188</v>
      </c>
      <c r="L47" s="88">
        <f t="shared" si="8"/>
        <v>17.88457019047619</v>
      </c>
      <c r="M47" s="88">
        <f t="shared" si="9"/>
        <v>19.892738190476187</v>
      </c>
      <c r="N47" s="87">
        <v>21.900906190476189</v>
      </c>
      <c r="O47" s="88">
        <f t="shared" si="10"/>
        <v>22.114860857142855</v>
      </c>
      <c r="P47" s="88">
        <f t="shared" si="11"/>
        <v>22.328815523809524</v>
      </c>
      <c r="Q47" s="88">
        <f t="shared" si="12"/>
        <v>22.54277019047619</v>
      </c>
      <c r="R47" s="88">
        <f t="shared" si="13"/>
        <v>22.75672485714286</v>
      </c>
      <c r="S47" s="87">
        <v>22.970679523809526</v>
      </c>
      <c r="T47" s="88">
        <f t="shared" si="14"/>
        <v>23.794853238095239</v>
      </c>
      <c r="U47" s="88">
        <f t="shared" si="15"/>
        <v>24.619026952380956</v>
      </c>
      <c r="V47" s="88">
        <f t="shared" si="16"/>
        <v>25.443200666666669</v>
      </c>
      <c r="W47" s="88">
        <f t="shared" si="17"/>
        <v>26.267374380952386</v>
      </c>
      <c r="X47" s="87">
        <v>27.0915480952381</v>
      </c>
      <c r="Y47" s="88">
        <f t="shared" si="18"/>
        <v>28.242971333333337</v>
      </c>
      <c r="Z47" s="88">
        <f t="shared" si="19"/>
        <v>29.394394571428574</v>
      </c>
      <c r="AA47" s="88">
        <f t="shared" si="20"/>
        <v>30.545817809523811</v>
      </c>
      <c r="AB47" s="88">
        <f t="shared" si="21"/>
        <v>31.697241047619048</v>
      </c>
      <c r="AC47" s="87">
        <v>32.848664285714285</v>
      </c>
      <c r="AD47" s="88">
        <f t="shared" si="22"/>
        <v>34.490432285714284</v>
      </c>
      <c r="AE47" s="88">
        <f t="shared" si="23"/>
        <v>36.132200285714283</v>
      </c>
      <c r="AF47" s="88">
        <f t="shared" si="24"/>
        <v>37.77396828571429</v>
      </c>
      <c r="AG47" s="88">
        <f t="shared" si="25"/>
        <v>39.415736285714289</v>
      </c>
      <c r="AH47" s="87">
        <v>41.057504285714288</v>
      </c>
      <c r="AI47" s="88">
        <f t="shared" si="26"/>
        <v>42.699272285714287</v>
      </c>
      <c r="AJ47" s="88">
        <f t="shared" si="27"/>
        <v>44.341040285714286</v>
      </c>
      <c r="AK47" s="88">
        <f t="shared" si="28"/>
        <v>45.982808285714285</v>
      </c>
      <c r="AL47" s="88">
        <f t="shared" si="29"/>
        <v>47.624576285714291</v>
      </c>
      <c r="AM47" s="87">
        <v>49.26634428571429</v>
      </c>
      <c r="AN47" s="88">
        <f t="shared" si="30"/>
        <v>50.908112285714289</v>
      </c>
      <c r="AO47" s="88">
        <f t="shared" si="31"/>
        <v>52.549880285714288</v>
      </c>
      <c r="AP47" s="88">
        <f t="shared" si="32"/>
        <v>54.191648285714294</v>
      </c>
      <c r="AQ47" s="88">
        <f t="shared" si="33"/>
        <v>55.833416285714293</v>
      </c>
      <c r="AR47" s="87">
        <v>57.475184285714292</v>
      </c>
      <c r="AS47" s="88">
        <f t="shared" si="34"/>
        <v>59.116952285714291</v>
      </c>
      <c r="AT47" s="88">
        <f t="shared" si="35"/>
        <v>60.75872028571429</v>
      </c>
      <c r="AU47" s="88">
        <f t="shared" si="36"/>
        <v>62.400488285714289</v>
      </c>
      <c r="AV47" s="88">
        <f t="shared" si="37"/>
        <v>64.042256285714288</v>
      </c>
      <c r="AW47" s="88">
        <f t="shared" si="38"/>
        <v>65.684024285714287</v>
      </c>
      <c r="AX47" s="88">
        <f t="shared" si="39"/>
        <v>67.3257922857143</v>
      </c>
      <c r="AY47" s="88">
        <f t="shared" si="40"/>
        <v>68.967560285714299</v>
      </c>
      <c r="AZ47" s="88">
        <f t="shared" si="41"/>
        <v>70.609328285714298</v>
      </c>
      <c r="BA47" s="88">
        <f t="shared" si="42"/>
        <v>72.251096285714297</v>
      </c>
      <c r="BB47" s="87">
        <v>73.892864285714296</v>
      </c>
      <c r="BC47" s="88">
        <f t="shared" si="43"/>
        <v>75.534632285714295</v>
      </c>
      <c r="BD47" s="88">
        <f t="shared" si="44"/>
        <v>77.176400285714294</v>
      </c>
      <c r="BE47" s="88">
        <f t="shared" si="45"/>
        <v>78.818168285714293</v>
      </c>
      <c r="BF47" s="88">
        <f t="shared" si="46"/>
        <v>80.459936285714292</v>
      </c>
      <c r="BG47" s="88">
        <f t="shared" si="47"/>
        <v>82.101704285714305</v>
      </c>
      <c r="BH47" s="88">
        <f t="shared" si="48"/>
        <v>83.74347228571429</v>
      </c>
      <c r="BI47" s="88">
        <f t="shared" si="49"/>
        <v>85.385240285714303</v>
      </c>
      <c r="BJ47" s="88">
        <f t="shared" si="50"/>
        <v>87.027008285714302</v>
      </c>
      <c r="BK47" s="88">
        <f t="shared" si="51"/>
        <v>88.668776285714301</v>
      </c>
      <c r="BL47" s="87">
        <v>90.3105442857143</v>
      </c>
      <c r="BM47" s="88">
        <f t="shared" si="52"/>
        <v>91.952312285714299</v>
      </c>
      <c r="BN47" s="88">
        <f t="shared" si="53"/>
        <v>93.594080285714298</v>
      </c>
      <c r="BO47" s="88">
        <f t="shared" si="54"/>
        <v>95.235848285714297</v>
      </c>
      <c r="BP47" s="88">
        <f t="shared" si="55"/>
        <v>96.877616285714296</v>
      </c>
      <c r="BQ47" s="88">
        <f t="shared" si="56"/>
        <v>98.519384285714295</v>
      </c>
      <c r="BR47" s="88">
        <f t="shared" si="57"/>
        <v>100.16115228571429</v>
      </c>
      <c r="BS47" s="88">
        <f t="shared" si="58"/>
        <v>101.80292028571429</v>
      </c>
      <c r="BT47" s="88">
        <f t="shared" si="59"/>
        <v>103.44468828571429</v>
      </c>
      <c r="BU47" s="88">
        <f t="shared" si="60"/>
        <v>105.08645628571429</v>
      </c>
      <c r="BV47" s="87">
        <v>106.72822428571429</v>
      </c>
      <c r="BW47" s="88">
        <f t="shared" si="61"/>
        <v>108.36999228571429</v>
      </c>
      <c r="BX47" s="88">
        <f t="shared" si="62"/>
        <v>110.01176028571429</v>
      </c>
      <c r="BY47" s="88">
        <f t="shared" si="63"/>
        <v>111.6535282857143</v>
      </c>
      <c r="BZ47" s="88">
        <f t="shared" si="64"/>
        <v>113.2952962857143</v>
      </c>
      <c r="CA47" s="87">
        <v>114.9370642857143</v>
      </c>
      <c r="CB47" s="88">
        <f t="shared" si="65"/>
        <v>116.5788322857143</v>
      </c>
      <c r="CC47" s="88">
        <f t="shared" si="66"/>
        <v>118.2206002857143</v>
      </c>
      <c r="CD47" s="88">
        <f t="shared" si="67"/>
        <v>119.86236828571431</v>
      </c>
      <c r="CE47" s="88">
        <f t="shared" si="68"/>
        <v>121.50413628571431</v>
      </c>
      <c r="CF47" s="87">
        <v>123.14590428571431</v>
      </c>
      <c r="CG47" s="88">
        <f t="shared" si="69"/>
        <v>124.78767228571431</v>
      </c>
      <c r="CH47" s="88">
        <f t="shared" si="70"/>
        <v>126.42944028571429</v>
      </c>
      <c r="CI47" s="88">
        <f t="shared" si="71"/>
        <v>128.07120828571428</v>
      </c>
      <c r="CJ47" s="88">
        <f t="shared" si="72"/>
        <v>129.71297628571429</v>
      </c>
      <c r="CK47" s="87">
        <v>131.35474428571428</v>
      </c>
      <c r="CL47" s="88">
        <f t="shared" si="73"/>
        <v>132.99651228571429</v>
      </c>
      <c r="CM47" s="88">
        <f t="shared" si="74"/>
        <v>134.63828028571427</v>
      </c>
      <c r="CN47" s="88">
        <f t="shared" si="75"/>
        <v>136.28004828571429</v>
      </c>
      <c r="CO47" s="88">
        <f t="shared" si="76"/>
        <v>137.9218162857143</v>
      </c>
      <c r="CP47" s="88">
        <f t="shared" si="77"/>
        <v>139.56358428571428</v>
      </c>
      <c r="CQ47" s="88">
        <f t="shared" si="78"/>
        <v>141.2053522857143</v>
      </c>
      <c r="CR47" s="88">
        <f t="shared" si="79"/>
        <v>142.84712028571431</v>
      </c>
      <c r="CS47" s="88">
        <f t="shared" si="80"/>
        <v>144.4888882857143</v>
      </c>
      <c r="CT47" s="88">
        <f t="shared" si="81"/>
        <v>146.13065628571431</v>
      </c>
      <c r="CU47" s="88">
        <f t="shared" si="82"/>
        <v>147.77242428571429</v>
      </c>
      <c r="CV47" s="88">
        <f t="shared" si="83"/>
        <v>149.41419228571431</v>
      </c>
      <c r="CW47" s="88">
        <f t="shared" si="84"/>
        <v>151.05596028571432</v>
      </c>
      <c r="CX47" s="88">
        <f t="shared" si="85"/>
        <v>152.69772828571431</v>
      </c>
      <c r="CY47" s="89">
        <v>154.33949628571432</v>
      </c>
      <c r="CZ47" s="1"/>
    </row>
    <row r="48" spans="2:104" hidden="1" x14ac:dyDescent="0.25">
      <c r="B48" s="58"/>
      <c r="C48" s="77">
        <f t="shared" si="86"/>
        <v>1520</v>
      </c>
      <c r="D48" s="87">
        <v>0</v>
      </c>
      <c r="E48" s="88">
        <f t="shared" si="2"/>
        <v>2.4568598095238099</v>
      </c>
      <c r="F48" s="88">
        <f t="shared" si="3"/>
        <v>4.9137196190476198</v>
      </c>
      <c r="G48" s="88">
        <f t="shared" si="4"/>
        <v>7.3705794285714301</v>
      </c>
      <c r="H48" s="88">
        <f t="shared" si="5"/>
        <v>9.8274392380952396</v>
      </c>
      <c r="I48" s="87">
        <v>12.284299047619049</v>
      </c>
      <c r="J48" s="88">
        <f t="shared" si="6"/>
        <v>14.30063504761905</v>
      </c>
      <c r="K48" s="88">
        <f t="shared" si="7"/>
        <v>16.316971047619049</v>
      </c>
      <c r="L48" s="88">
        <f t="shared" si="8"/>
        <v>18.333307047619048</v>
      </c>
      <c r="M48" s="88">
        <f t="shared" si="9"/>
        <v>20.349643047619047</v>
      </c>
      <c r="N48" s="87">
        <v>22.365979047619049</v>
      </c>
      <c r="O48" s="88">
        <f t="shared" si="10"/>
        <v>22.620768380952384</v>
      </c>
      <c r="P48" s="88">
        <f t="shared" si="11"/>
        <v>22.875557714285716</v>
      </c>
      <c r="Q48" s="88">
        <f t="shared" si="12"/>
        <v>23.13034704761905</v>
      </c>
      <c r="R48" s="88">
        <f t="shared" si="13"/>
        <v>23.385136380952382</v>
      </c>
      <c r="S48" s="87">
        <v>23.639925714285717</v>
      </c>
      <c r="T48" s="88">
        <f t="shared" si="14"/>
        <v>24.447267428571433</v>
      </c>
      <c r="U48" s="88">
        <f t="shared" si="15"/>
        <v>25.254609142857149</v>
      </c>
      <c r="V48" s="88">
        <f t="shared" si="16"/>
        <v>26.061950857142861</v>
      </c>
      <c r="W48" s="88">
        <f t="shared" si="17"/>
        <v>26.869292571428577</v>
      </c>
      <c r="X48" s="87">
        <v>27.676634285714293</v>
      </c>
      <c r="Y48" s="88">
        <f t="shared" si="18"/>
        <v>28.827892190476195</v>
      </c>
      <c r="Z48" s="88">
        <f t="shared" si="19"/>
        <v>29.979150095238097</v>
      </c>
      <c r="AA48" s="88">
        <f t="shared" si="20"/>
        <v>31.130408000000003</v>
      </c>
      <c r="AB48" s="88">
        <f t="shared" si="21"/>
        <v>32.281665904761901</v>
      </c>
      <c r="AC48" s="87">
        <v>33.432923809523807</v>
      </c>
      <c r="AD48" s="88">
        <f t="shared" si="22"/>
        <v>35.082859809523811</v>
      </c>
      <c r="AE48" s="88">
        <f t="shared" si="23"/>
        <v>36.732795809523807</v>
      </c>
      <c r="AF48" s="88">
        <f t="shared" si="24"/>
        <v>38.382731809523811</v>
      </c>
      <c r="AG48" s="88">
        <f t="shared" si="25"/>
        <v>40.032667809523808</v>
      </c>
      <c r="AH48" s="87">
        <v>41.682603809523812</v>
      </c>
      <c r="AI48" s="88">
        <f t="shared" si="26"/>
        <v>43.332539809523809</v>
      </c>
      <c r="AJ48" s="88">
        <f t="shared" si="27"/>
        <v>44.982475809523812</v>
      </c>
      <c r="AK48" s="88">
        <f t="shared" si="28"/>
        <v>46.632411809523809</v>
      </c>
      <c r="AL48" s="88">
        <f t="shared" si="29"/>
        <v>48.282347809523813</v>
      </c>
      <c r="AM48" s="87">
        <v>49.93228380952381</v>
      </c>
      <c r="AN48" s="88">
        <f t="shared" si="30"/>
        <v>51.582219809523814</v>
      </c>
      <c r="AO48" s="88">
        <f t="shared" si="31"/>
        <v>53.23215580952381</v>
      </c>
      <c r="AP48" s="88">
        <f t="shared" si="32"/>
        <v>54.882091809523814</v>
      </c>
      <c r="AQ48" s="88">
        <f t="shared" si="33"/>
        <v>56.532027809523811</v>
      </c>
      <c r="AR48" s="87">
        <v>58.181963809523815</v>
      </c>
      <c r="AS48" s="88">
        <f t="shared" si="34"/>
        <v>59.831899809523819</v>
      </c>
      <c r="AT48" s="88">
        <f t="shared" si="35"/>
        <v>61.481835809523815</v>
      </c>
      <c r="AU48" s="88">
        <f t="shared" si="36"/>
        <v>63.131771809523812</v>
      </c>
      <c r="AV48" s="88">
        <f t="shared" si="37"/>
        <v>64.781707809523823</v>
      </c>
      <c r="AW48" s="88">
        <f t="shared" si="38"/>
        <v>66.43164380952382</v>
      </c>
      <c r="AX48" s="88">
        <f t="shared" si="39"/>
        <v>68.081579809523816</v>
      </c>
      <c r="AY48" s="88">
        <f t="shared" si="40"/>
        <v>69.731515809523813</v>
      </c>
      <c r="AZ48" s="88">
        <f t="shared" si="41"/>
        <v>71.38145180952381</v>
      </c>
      <c r="BA48" s="88">
        <f t="shared" si="42"/>
        <v>73.031387809523821</v>
      </c>
      <c r="BB48" s="87">
        <v>74.681323809523818</v>
      </c>
      <c r="BC48" s="88">
        <f t="shared" si="43"/>
        <v>76.331259809523814</v>
      </c>
      <c r="BD48" s="88">
        <f t="shared" si="44"/>
        <v>77.981195809523811</v>
      </c>
      <c r="BE48" s="88">
        <f t="shared" si="45"/>
        <v>79.631131809523822</v>
      </c>
      <c r="BF48" s="88">
        <f t="shared" si="46"/>
        <v>81.281067809523819</v>
      </c>
      <c r="BG48" s="88">
        <f t="shared" si="47"/>
        <v>82.931003809523816</v>
      </c>
      <c r="BH48" s="88">
        <f t="shared" si="48"/>
        <v>84.580939809523812</v>
      </c>
      <c r="BI48" s="88">
        <f t="shared" si="49"/>
        <v>86.230875809523809</v>
      </c>
      <c r="BJ48" s="88">
        <f t="shared" si="50"/>
        <v>87.88081180952382</v>
      </c>
      <c r="BK48" s="88">
        <f t="shared" si="51"/>
        <v>89.530747809523817</v>
      </c>
      <c r="BL48" s="87">
        <v>91.180683809523813</v>
      </c>
      <c r="BM48" s="88">
        <f t="shared" si="52"/>
        <v>92.83061980952381</v>
      </c>
      <c r="BN48" s="88">
        <f t="shared" si="53"/>
        <v>94.480555809523807</v>
      </c>
      <c r="BO48" s="88">
        <f t="shared" si="54"/>
        <v>96.130491809523818</v>
      </c>
      <c r="BP48" s="88">
        <f t="shared" si="55"/>
        <v>97.780427809523815</v>
      </c>
      <c r="BQ48" s="88">
        <f t="shared" si="56"/>
        <v>99.430363809523811</v>
      </c>
      <c r="BR48" s="88">
        <f t="shared" si="57"/>
        <v>101.08029980952381</v>
      </c>
      <c r="BS48" s="88">
        <f t="shared" si="58"/>
        <v>102.7302358095238</v>
      </c>
      <c r="BT48" s="88">
        <f t="shared" si="59"/>
        <v>104.38017180952382</v>
      </c>
      <c r="BU48" s="88">
        <f t="shared" si="60"/>
        <v>106.03010780952381</v>
      </c>
      <c r="BV48" s="87">
        <v>107.68004380952381</v>
      </c>
      <c r="BW48" s="88">
        <f t="shared" si="61"/>
        <v>109.32997980952381</v>
      </c>
      <c r="BX48" s="88">
        <f t="shared" si="62"/>
        <v>110.97991580952382</v>
      </c>
      <c r="BY48" s="88">
        <f t="shared" si="63"/>
        <v>112.62985180952381</v>
      </c>
      <c r="BZ48" s="88">
        <f t="shared" si="64"/>
        <v>114.27978780952382</v>
      </c>
      <c r="CA48" s="87">
        <v>115.92972380952382</v>
      </c>
      <c r="CB48" s="88">
        <f t="shared" si="65"/>
        <v>117.57965980952382</v>
      </c>
      <c r="CC48" s="88">
        <f t="shared" si="66"/>
        <v>119.22959580952381</v>
      </c>
      <c r="CD48" s="88">
        <f t="shared" si="67"/>
        <v>120.87953180952383</v>
      </c>
      <c r="CE48" s="88">
        <f t="shared" si="68"/>
        <v>122.52946780952382</v>
      </c>
      <c r="CF48" s="87">
        <v>124.17940380952382</v>
      </c>
      <c r="CG48" s="88">
        <f t="shared" si="69"/>
        <v>125.82933980952382</v>
      </c>
      <c r="CH48" s="88">
        <f t="shared" si="70"/>
        <v>127.47927580952381</v>
      </c>
      <c r="CI48" s="88">
        <f t="shared" si="71"/>
        <v>129.12921180952381</v>
      </c>
      <c r="CJ48" s="88">
        <f t="shared" si="72"/>
        <v>130.77914780952381</v>
      </c>
      <c r="CK48" s="87">
        <v>132.4290838095238</v>
      </c>
      <c r="CL48" s="88">
        <f t="shared" si="73"/>
        <v>134.0790198095238</v>
      </c>
      <c r="CM48" s="88">
        <f t="shared" si="74"/>
        <v>135.7289558095238</v>
      </c>
      <c r="CN48" s="88">
        <f t="shared" si="75"/>
        <v>137.37889180952379</v>
      </c>
      <c r="CO48" s="88">
        <f t="shared" si="76"/>
        <v>139.02882780952382</v>
      </c>
      <c r="CP48" s="88">
        <f t="shared" si="77"/>
        <v>140.67876380952382</v>
      </c>
      <c r="CQ48" s="88">
        <f t="shared" si="78"/>
        <v>142.32869980952381</v>
      </c>
      <c r="CR48" s="88">
        <f t="shared" si="79"/>
        <v>143.97863580952381</v>
      </c>
      <c r="CS48" s="88">
        <f t="shared" si="80"/>
        <v>145.62857180952381</v>
      </c>
      <c r="CT48" s="88">
        <f t="shared" si="81"/>
        <v>147.2785078095238</v>
      </c>
      <c r="CU48" s="88">
        <f t="shared" si="82"/>
        <v>148.9284438095238</v>
      </c>
      <c r="CV48" s="88">
        <f t="shared" si="83"/>
        <v>150.57837980952382</v>
      </c>
      <c r="CW48" s="88">
        <f t="shared" si="84"/>
        <v>152.22831580952382</v>
      </c>
      <c r="CX48" s="88">
        <f t="shared" si="85"/>
        <v>153.87825180952382</v>
      </c>
      <c r="CY48" s="89">
        <v>155.52818780952381</v>
      </c>
      <c r="CZ48" s="1"/>
    </row>
    <row r="49" spans="2:104" hidden="1" x14ac:dyDescent="0.25">
      <c r="B49" s="58"/>
      <c r="C49" s="77">
        <f t="shared" si="86"/>
        <v>1760</v>
      </c>
      <c r="D49" s="87">
        <v>0</v>
      </c>
      <c r="E49" s="88">
        <f t="shared" si="2"/>
        <v>2.5303611428571431</v>
      </c>
      <c r="F49" s="88">
        <f t="shared" si="3"/>
        <v>5.0607222857142862</v>
      </c>
      <c r="G49" s="88">
        <f t="shared" si="4"/>
        <v>7.5910834285714293</v>
      </c>
      <c r="H49" s="88">
        <f t="shared" si="5"/>
        <v>10.121444571428572</v>
      </c>
      <c r="I49" s="87">
        <v>12.651805714285715</v>
      </c>
      <c r="J49" s="88">
        <f t="shared" si="6"/>
        <v>14.676309714285715</v>
      </c>
      <c r="K49" s="88">
        <f t="shared" si="7"/>
        <v>16.700813714285715</v>
      </c>
      <c r="L49" s="88">
        <f t="shared" si="8"/>
        <v>18.725317714285715</v>
      </c>
      <c r="M49" s="88">
        <f t="shared" si="9"/>
        <v>20.749821714285716</v>
      </c>
      <c r="N49" s="87">
        <v>22.774325714285716</v>
      </c>
      <c r="O49" s="88">
        <f t="shared" si="10"/>
        <v>23.065283047619051</v>
      </c>
      <c r="P49" s="88">
        <f t="shared" si="11"/>
        <v>23.356240380952382</v>
      </c>
      <c r="Q49" s="88">
        <f t="shared" si="12"/>
        <v>23.647197714285717</v>
      </c>
      <c r="R49" s="88">
        <f t="shared" si="13"/>
        <v>23.938155047619048</v>
      </c>
      <c r="S49" s="87">
        <v>24.229112380952383</v>
      </c>
      <c r="T49" s="88">
        <f t="shared" si="14"/>
        <v>25.023193523809528</v>
      </c>
      <c r="U49" s="88">
        <f t="shared" si="15"/>
        <v>25.81727466666667</v>
      </c>
      <c r="V49" s="88">
        <f t="shared" si="16"/>
        <v>26.611355809523815</v>
      </c>
      <c r="W49" s="88">
        <f t="shared" si="17"/>
        <v>27.405436952380956</v>
      </c>
      <c r="X49" s="87">
        <v>28.199518095238101</v>
      </c>
      <c r="Y49" s="88">
        <f t="shared" si="18"/>
        <v>29.351801142857148</v>
      </c>
      <c r="Z49" s="88">
        <f t="shared" si="19"/>
        <v>30.504084190476195</v>
      </c>
      <c r="AA49" s="88">
        <f t="shared" si="20"/>
        <v>31.656367238095243</v>
      </c>
      <c r="AB49" s="88">
        <f t="shared" si="21"/>
        <v>32.808650285714293</v>
      </c>
      <c r="AC49" s="87">
        <v>33.960933333333337</v>
      </c>
      <c r="AD49" s="88">
        <f t="shared" si="22"/>
        <v>35.619037333333338</v>
      </c>
      <c r="AE49" s="88">
        <f t="shared" si="23"/>
        <v>37.27714133333334</v>
      </c>
      <c r="AF49" s="88">
        <f t="shared" si="24"/>
        <v>38.935245333333341</v>
      </c>
      <c r="AG49" s="88">
        <f t="shared" si="25"/>
        <v>40.593349333333336</v>
      </c>
      <c r="AH49" s="87">
        <v>42.251453333333338</v>
      </c>
      <c r="AI49" s="88">
        <f t="shared" si="26"/>
        <v>43.909557333333339</v>
      </c>
      <c r="AJ49" s="88">
        <f t="shared" si="27"/>
        <v>45.567661333333341</v>
      </c>
      <c r="AK49" s="88">
        <f t="shared" si="28"/>
        <v>47.225765333333342</v>
      </c>
      <c r="AL49" s="88">
        <f t="shared" si="29"/>
        <v>48.883869333333337</v>
      </c>
      <c r="AM49" s="87">
        <v>50.541973333333338</v>
      </c>
      <c r="AN49" s="88">
        <f t="shared" si="30"/>
        <v>52.20007733333334</v>
      </c>
      <c r="AO49" s="88">
        <f t="shared" si="31"/>
        <v>53.858181333333341</v>
      </c>
      <c r="AP49" s="88">
        <f t="shared" si="32"/>
        <v>55.516285333333343</v>
      </c>
      <c r="AQ49" s="88">
        <f t="shared" si="33"/>
        <v>57.174389333333345</v>
      </c>
      <c r="AR49" s="87">
        <v>58.832493333333346</v>
      </c>
      <c r="AS49" s="88">
        <f t="shared" si="34"/>
        <v>60.490597333333348</v>
      </c>
      <c r="AT49" s="88">
        <f t="shared" si="35"/>
        <v>62.148701333333349</v>
      </c>
      <c r="AU49" s="88">
        <f t="shared" si="36"/>
        <v>63.806805333333344</v>
      </c>
      <c r="AV49" s="88">
        <f t="shared" si="37"/>
        <v>65.464909333333352</v>
      </c>
      <c r="AW49" s="88">
        <f t="shared" si="38"/>
        <v>67.123013333333347</v>
      </c>
      <c r="AX49" s="88">
        <f t="shared" si="39"/>
        <v>68.781117333333356</v>
      </c>
      <c r="AY49" s="88">
        <f t="shared" si="40"/>
        <v>70.43922133333335</v>
      </c>
      <c r="AZ49" s="88">
        <f t="shared" si="41"/>
        <v>72.097325333333345</v>
      </c>
      <c r="BA49" s="88">
        <f t="shared" si="42"/>
        <v>73.755429333333353</v>
      </c>
      <c r="BB49" s="87">
        <v>75.413533333333348</v>
      </c>
      <c r="BC49" s="88">
        <f t="shared" si="43"/>
        <v>77.071637333333342</v>
      </c>
      <c r="BD49" s="88">
        <f t="shared" si="44"/>
        <v>78.729741333333351</v>
      </c>
      <c r="BE49" s="88">
        <f t="shared" si="45"/>
        <v>80.387845333333345</v>
      </c>
      <c r="BF49" s="88">
        <f t="shared" si="46"/>
        <v>82.04594933333334</v>
      </c>
      <c r="BG49" s="88">
        <f t="shared" si="47"/>
        <v>83.704053333333349</v>
      </c>
      <c r="BH49" s="88">
        <f t="shared" si="48"/>
        <v>85.362157333333343</v>
      </c>
      <c r="BI49" s="88">
        <f t="shared" si="49"/>
        <v>87.020261333333337</v>
      </c>
      <c r="BJ49" s="88">
        <f t="shared" si="50"/>
        <v>88.678365333333332</v>
      </c>
      <c r="BK49" s="88">
        <f t="shared" si="51"/>
        <v>90.336469333333341</v>
      </c>
      <c r="BL49" s="87">
        <v>91.994573333333335</v>
      </c>
      <c r="BM49" s="88">
        <f t="shared" si="52"/>
        <v>93.65267733333333</v>
      </c>
      <c r="BN49" s="88">
        <f t="shared" si="53"/>
        <v>95.310781333333338</v>
      </c>
      <c r="BO49" s="88">
        <f t="shared" si="54"/>
        <v>96.968885333333333</v>
      </c>
      <c r="BP49" s="88">
        <f t="shared" si="55"/>
        <v>98.626989333333341</v>
      </c>
      <c r="BQ49" s="88">
        <f t="shared" si="56"/>
        <v>100.28509333333334</v>
      </c>
      <c r="BR49" s="88">
        <f t="shared" si="57"/>
        <v>101.94319733333333</v>
      </c>
      <c r="BS49" s="88">
        <f t="shared" si="58"/>
        <v>103.60130133333334</v>
      </c>
      <c r="BT49" s="88">
        <f t="shared" si="59"/>
        <v>105.25940533333333</v>
      </c>
      <c r="BU49" s="88">
        <f t="shared" si="60"/>
        <v>106.91750933333334</v>
      </c>
      <c r="BV49" s="87">
        <v>108.57561333333334</v>
      </c>
      <c r="BW49" s="88">
        <f t="shared" si="61"/>
        <v>110.23371733333335</v>
      </c>
      <c r="BX49" s="88">
        <f t="shared" si="62"/>
        <v>111.89182133333334</v>
      </c>
      <c r="BY49" s="88">
        <f t="shared" si="63"/>
        <v>113.54992533333335</v>
      </c>
      <c r="BZ49" s="88">
        <f t="shared" si="64"/>
        <v>115.20802933333334</v>
      </c>
      <c r="CA49" s="87">
        <v>116.86613333333335</v>
      </c>
      <c r="CB49" s="88">
        <f t="shared" si="65"/>
        <v>118.52423733333335</v>
      </c>
      <c r="CC49" s="88">
        <f t="shared" si="66"/>
        <v>120.18234133333335</v>
      </c>
      <c r="CD49" s="88">
        <f t="shared" si="67"/>
        <v>121.84044533333335</v>
      </c>
      <c r="CE49" s="88">
        <f t="shared" si="68"/>
        <v>123.49854933333336</v>
      </c>
      <c r="CF49" s="87">
        <v>125.15665333333335</v>
      </c>
      <c r="CG49" s="88">
        <f t="shared" si="69"/>
        <v>126.81475733333335</v>
      </c>
      <c r="CH49" s="88">
        <f t="shared" si="70"/>
        <v>128.47286133333336</v>
      </c>
      <c r="CI49" s="88">
        <f t="shared" si="71"/>
        <v>130.13096533333334</v>
      </c>
      <c r="CJ49" s="88">
        <f t="shared" si="72"/>
        <v>131.78906933333332</v>
      </c>
      <c r="CK49" s="87">
        <v>133.44717333333332</v>
      </c>
      <c r="CL49" s="88">
        <f t="shared" si="73"/>
        <v>135.10527733333333</v>
      </c>
      <c r="CM49" s="88">
        <f t="shared" si="74"/>
        <v>136.76338133333334</v>
      </c>
      <c r="CN49" s="88">
        <f t="shared" si="75"/>
        <v>138.42148533333332</v>
      </c>
      <c r="CO49" s="88">
        <f t="shared" si="76"/>
        <v>140.07958933333333</v>
      </c>
      <c r="CP49" s="88">
        <f t="shared" si="77"/>
        <v>141.73769333333334</v>
      </c>
      <c r="CQ49" s="88">
        <f t="shared" si="78"/>
        <v>143.39579733333335</v>
      </c>
      <c r="CR49" s="88">
        <f t="shared" si="79"/>
        <v>145.05390133333333</v>
      </c>
      <c r="CS49" s="88">
        <f t="shared" si="80"/>
        <v>146.71200533333334</v>
      </c>
      <c r="CT49" s="88">
        <f t="shared" si="81"/>
        <v>148.37010933333335</v>
      </c>
      <c r="CU49" s="88">
        <f t="shared" si="82"/>
        <v>150.02821333333335</v>
      </c>
      <c r="CV49" s="88">
        <f t="shared" si="83"/>
        <v>151.68631733333336</v>
      </c>
      <c r="CW49" s="88">
        <f t="shared" si="84"/>
        <v>153.34442133333334</v>
      </c>
      <c r="CX49" s="88">
        <f t="shared" si="85"/>
        <v>155.00252533333335</v>
      </c>
      <c r="CY49" s="89">
        <v>156.66062933333336</v>
      </c>
      <c r="CZ49" s="1"/>
    </row>
    <row r="50" spans="2:104" hidden="1" x14ac:dyDescent="0.25">
      <c r="B50" s="58"/>
      <c r="C50" s="77">
        <f t="shared" si="86"/>
        <v>2000</v>
      </c>
      <c r="D50" s="87">
        <v>0</v>
      </c>
      <c r="E50" s="88">
        <f t="shared" si="2"/>
        <v>2.6057209523809521</v>
      </c>
      <c r="F50" s="88">
        <f t="shared" si="3"/>
        <v>5.2114419047619043</v>
      </c>
      <c r="G50" s="88">
        <f t="shared" si="4"/>
        <v>7.817162857142856</v>
      </c>
      <c r="H50" s="88">
        <f t="shared" si="5"/>
        <v>10.422883809523809</v>
      </c>
      <c r="I50" s="87">
        <v>13.028604761904761</v>
      </c>
      <c r="J50" s="88">
        <f t="shared" si="6"/>
        <v>15.069444761904762</v>
      </c>
      <c r="K50" s="88">
        <f t="shared" si="7"/>
        <v>17.110284761904762</v>
      </c>
      <c r="L50" s="88">
        <f t="shared" si="8"/>
        <v>19.151124761904761</v>
      </c>
      <c r="M50" s="88">
        <f t="shared" si="9"/>
        <v>21.191964761904764</v>
      </c>
      <c r="N50" s="87">
        <v>23.232804761904763</v>
      </c>
      <c r="O50" s="88">
        <f t="shared" si="10"/>
        <v>23.568098095238096</v>
      </c>
      <c r="P50" s="88">
        <f t="shared" si="11"/>
        <v>23.903391428571432</v>
      </c>
      <c r="Q50" s="88">
        <f t="shared" si="12"/>
        <v>24.238684761904764</v>
      </c>
      <c r="R50" s="88">
        <f t="shared" si="13"/>
        <v>24.5739780952381</v>
      </c>
      <c r="S50" s="87">
        <v>24.909271428571433</v>
      </c>
      <c r="T50" s="88">
        <f t="shared" si="14"/>
        <v>25.698260000000005</v>
      </c>
      <c r="U50" s="88">
        <f t="shared" si="15"/>
        <v>26.487248571428577</v>
      </c>
      <c r="V50" s="88">
        <f t="shared" si="16"/>
        <v>27.276237142857148</v>
      </c>
      <c r="W50" s="88">
        <f t="shared" si="17"/>
        <v>28.065225714285717</v>
      </c>
      <c r="X50" s="87">
        <v>28.854214285714288</v>
      </c>
      <c r="Y50" s="88">
        <f t="shared" si="18"/>
        <v>30.015690476190478</v>
      </c>
      <c r="Z50" s="88">
        <f t="shared" si="19"/>
        <v>31.177166666666668</v>
      </c>
      <c r="AA50" s="88">
        <f t="shared" si="20"/>
        <v>32.338642857142858</v>
      </c>
      <c r="AB50" s="88">
        <f t="shared" si="21"/>
        <v>33.500119047619052</v>
      </c>
      <c r="AC50" s="87">
        <v>34.661595238095238</v>
      </c>
      <c r="AD50" s="88">
        <f t="shared" si="22"/>
        <v>36.336035238095235</v>
      </c>
      <c r="AE50" s="88">
        <f t="shared" si="23"/>
        <v>38.010475238095239</v>
      </c>
      <c r="AF50" s="88">
        <f t="shared" si="24"/>
        <v>39.684915238095236</v>
      </c>
      <c r="AG50" s="88">
        <f t="shared" si="25"/>
        <v>41.35935523809524</v>
      </c>
      <c r="AH50" s="87">
        <v>43.033795238095237</v>
      </c>
      <c r="AI50" s="88">
        <f t="shared" si="26"/>
        <v>44.708235238095234</v>
      </c>
      <c r="AJ50" s="88">
        <f t="shared" si="27"/>
        <v>46.382675238095239</v>
      </c>
      <c r="AK50" s="88">
        <f t="shared" si="28"/>
        <v>48.057115238095236</v>
      </c>
      <c r="AL50" s="88">
        <f t="shared" si="29"/>
        <v>49.73155523809524</v>
      </c>
      <c r="AM50" s="87">
        <v>51.405995238095237</v>
      </c>
      <c r="AN50" s="88">
        <f t="shared" si="30"/>
        <v>53.080435238095241</v>
      </c>
      <c r="AO50" s="88">
        <f t="shared" si="31"/>
        <v>54.754875238095238</v>
      </c>
      <c r="AP50" s="88">
        <f t="shared" si="32"/>
        <v>56.429315238095242</v>
      </c>
      <c r="AQ50" s="88">
        <f t="shared" si="33"/>
        <v>58.103755238095239</v>
      </c>
      <c r="AR50" s="87">
        <v>59.778195238095243</v>
      </c>
      <c r="AS50" s="88">
        <f t="shared" si="34"/>
        <v>61.45263523809524</v>
      </c>
      <c r="AT50" s="88">
        <f t="shared" si="35"/>
        <v>63.127075238095244</v>
      </c>
      <c r="AU50" s="88">
        <f t="shared" si="36"/>
        <v>64.801515238095249</v>
      </c>
      <c r="AV50" s="88">
        <f t="shared" si="37"/>
        <v>66.475955238095253</v>
      </c>
      <c r="AW50" s="88">
        <f t="shared" si="38"/>
        <v>68.150395238095243</v>
      </c>
      <c r="AX50" s="88">
        <f t="shared" si="39"/>
        <v>69.824835238095247</v>
      </c>
      <c r="AY50" s="88">
        <f t="shared" si="40"/>
        <v>71.499275238095251</v>
      </c>
      <c r="AZ50" s="88">
        <f t="shared" si="41"/>
        <v>73.173715238095241</v>
      </c>
      <c r="BA50" s="88">
        <f t="shared" si="42"/>
        <v>74.848155238095245</v>
      </c>
      <c r="BB50" s="87">
        <v>76.522595238095249</v>
      </c>
      <c r="BC50" s="88">
        <f t="shared" si="43"/>
        <v>78.197035238095253</v>
      </c>
      <c r="BD50" s="88">
        <f t="shared" si="44"/>
        <v>79.871475238095243</v>
      </c>
      <c r="BE50" s="88">
        <f t="shared" si="45"/>
        <v>81.545915238095247</v>
      </c>
      <c r="BF50" s="88">
        <f t="shared" si="46"/>
        <v>83.220355238095252</v>
      </c>
      <c r="BG50" s="88">
        <f t="shared" si="47"/>
        <v>84.894795238095242</v>
      </c>
      <c r="BH50" s="88">
        <f t="shared" si="48"/>
        <v>86.569235238095246</v>
      </c>
      <c r="BI50" s="88">
        <f t="shared" si="49"/>
        <v>88.24367523809525</v>
      </c>
      <c r="BJ50" s="88">
        <f t="shared" si="50"/>
        <v>89.918115238095254</v>
      </c>
      <c r="BK50" s="88">
        <f t="shared" si="51"/>
        <v>91.592555238095244</v>
      </c>
      <c r="BL50" s="87">
        <v>93.266995238095248</v>
      </c>
      <c r="BM50" s="88">
        <f t="shared" si="52"/>
        <v>94.941435238095252</v>
      </c>
      <c r="BN50" s="88">
        <f t="shared" si="53"/>
        <v>96.615875238095242</v>
      </c>
      <c r="BO50" s="88">
        <f t="shared" si="54"/>
        <v>98.290315238095246</v>
      </c>
      <c r="BP50" s="88">
        <f t="shared" si="55"/>
        <v>99.96475523809525</v>
      </c>
      <c r="BQ50" s="88">
        <f t="shared" si="56"/>
        <v>101.63919523809525</v>
      </c>
      <c r="BR50" s="88">
        <f t="shared" si="57"/>
        <v>103.31363523809524</v>
      </c>
      <c r="BS50" s="88">
        <f t="shared" si="58"/>
        <v>104.98807523809525</v>
      </c>
      <c r="BT50" s="88">
        <f t="shared" si="59"/>
        <v>106.66251523809525</v>
      </c>
      <c r="BU50" s="88">
        <f t="shared" si="60"/>
        <v>108.33695523809524</v>
      </c>
      <c r="BV50" s="87">
        <v>110.01139523809525</v>
      </c>
      <c r="BW50" s="88">
        <f t="shared" si="61"/>
        <v>111.68583523809525</v>
      </c>
      <c r="BX50" s="88">
        <f t="shared" si="62"/>
        <v>113.36027523809526</v>
      </c>
      <c r="BY50" s="88">
        <f t="shared" si="63"/>
        <v>115.03471523809525</v>
      </c>
      <c r="BZ50" s="88">
        <f t="shared" si="64"/>
        <v>116.70915523809525</v>
      </c>
      <c r="CA50" s="87">
        <v>118.38359523809525</v>
      </c>
      <c r="CB50" s="88">
        <f t="shared" si="65"/>
        <v>120.05803523809526</v>
      </c>
      <c r="CC50" s="88">
        <f t="shared" si="66"/>
        <v>121.73247523809526</v>
      </c>
      <c r="CD50" s="88">
        <f t="shared" si="67"/>
        <v>123.40691523809525</v>
      </c>
      <c r="CE50" s="88">
        <f t="shared" si="68"/>
        <v>125.08135523809526</v>
      </c>
      <c r="CF50" s="87">
        <v>126.75579523809526</v>
      </c>
      <c r="CG50" s="88">
        <f t="shared" si="69"/>
        <v>128.43023523809526</v>
      </c>
      <c r="CH50" s="88">
        <f t="shared" si="70"/>
        <v>130.10467523809527</v>
      </c>
      <c r="CI50" s="88">
        <f t="shared" si="71"/>
        <v>131.77911523809524</v>
      </c>
      <c r="CJ50" s="88">
        <f t="shared" si="72"/>
        <v>133.45355523809525</v>
      </c>
      <c r="CK50" s="87">
        <v>135.12799523809525</v>
      </c>
      <c r="CL50" s="88">
        <f t="shared" si="73"/>
        <v>136.80243523809526</v>
      </c>
      <c r="CM50" s="88">
        <f t="shared" si="74"/>
        <v>138.47687523809526</v>
      </c>
      <c r="CN50" s="88">
        <f t="shared" si="75"/>
        <v>140.15131523809526</v>
      </c>
      <c r="CO50" s="88">
        <f t="shared" si="76"/>
        <v>141.82575523809524</v>
      </c>
      <c r="CP50" s="88">
        <f t="shared" si="77"/>
        <v>143.50019523809524</v>
      </c>
      <c r="CQ50" s="88">
        <f t="shared" si="78"/>
        <v>145.17463523809525</v>
      </c>
      <c r="CR50" s="88">
        <f t="shared" si="79"/>
        <v>146.84907523809525</v>
      </c>
      <c r="CS50" s="88">
        <f t="shared" si="80"/>
        <v>148.52351523809526</v>
      </c>
      <c r="CT50" s="88">
        <f t="shared" si="81"/>
        <v>150.19795523809526</v>
      </c>
      <c r="CU50" s="88">
        <f t="shared" si="82"/>
        <v>151.87239523809527</v>
      </c>
      <c r="CV50" s="88">
        <f t="shared" si="83"/>
        <v>153.54683523809524</v>
      </c>
      <c r="CW50" s="88">
        <f t="shared" si="84"/>
        <v>155.22127523809525</v>
      </c>
      <c r="CX50" s="88">
        <f t="shared" si="85"/>
        <v>156.89571523809525</v>
      </c>
      <c r="CY50" s="89">
        <v>158.57015523809525</v>
      </c>
      <c r="CZ50" s="1"/>
    </row>
    <row r="51" spans="2:104" hidden="1" x14ac:dyDescent="0.25">
      <c r="B51" s="58"/>
      <c r="C51" s="77">
        <f t="shared" si="86"/>
        <v>2520</v>
      </c>
      <c r="D51" s="87">
        <v>0</v>
      </c>
      <c r="E51" s="88">
        <f t="shared" si="2"/>
        <v>2.7671244000000002</v>
      </c>
      <c r="F51" s="88">
        <f t="shared" si="3"/>
        <v>5.5342488000000003</v>
      </c>
      <c r="G51" s="88">
        <f t="shared" si="4"/>
        <v>8.3013732000000005</v>
      </c>
      <c r="H51" s="88">
        <f t="shared" si="5"/>
        <v>11.068497600000001</v>
      </c>
      <c r="I51" s="87">
        <v>13.835622000000001</v>
      </c>
      <c r="J51" s="88">
        <f t="shared" si="6"/>
        <v>15.882996400000001</v>
      </c>
      <c r="K51" s="88">
        <f t="shared" si="7"/>
        <v>17.930370800000002</v>
      </c>
      <c r="L51" s="88">
        <f t="shared" si="8"/>
        <v>19.977745200000001</v>
      </c>
      <c r="M51" s="88">
        <f t="shared" si="9"/>
        <v>22.025119600000004</v>
      </c>
      <c r="N51" s="87">
        <v>24.072494000000003</v>
      </c>
      <c r="O51" s="88">
        <f t="shared" si="10"/>
        <v>24.474988400000001</v>
      </c>
      <c r="P51" s="88">
        <f t="shared" si="11"/>
        <v>24.877482800000003</v>
      </c>
      <c r="Q51" s="88">
        <f t="shared" si="12"/>
        <v>25.279977200000001</v>
      </c>
      <c r="R51" s="88">
        <f t="shared" si="13"/>
        <v>25.682471600000003</v>
      </c>
      <c r="S51" s="87">
        <v>26.084966000000001</v>
      </c>
      <c r="T51" s="88">
        <f t="shared" si="14"/>
        <v>26.834060400000002</v>
      </c>
      <c r="U51" s="88">
        <f t="shared" si="15"/>
        <v>27.583154800000003</v>
      </c>
      <c r="V51" s="88">
        <f t="shared" si="16"/>
        <v>28.332249200000007</v>
      </c>
      <c r="W51" s="88">
        <f t="shared" si="17"/>
        <v>29.081343600000007</v>
      </c>
      <c r="X51" s="87">
        <v>29.830438000000008</v>
      </c>
      <c r="Y51" s="88">
        <f t="shared" si="18"/>
        <v>30.982972400000008</v>
      </c>
      <c r="Z51" s="88">
        <f t="shared" si="19"/>
        <v>32.135506800000009</v>
      </c>
      <c r="AA51" s="88">
        <f t="shared" si="20"/>
        <v>33.288041200000002</v>
      </c>
      <c r="AB51" s="88">
        <f t="shared" si="21"/>
        <v>34.440575600000003</v>
      </c>
      <c r="AC51" s="87">
        <v>35.593110000000003</v>
      </c>
      <c r="AD51" s="88">
        <f t="shared" si="22"/>
        <v>37.2740844</v>
      </c>
      <c r="AE51" s="88">
        <f t="shared" si="23"/>
        <v>38.955058800000003</v>
      </c>
      <c r="AF51" s="88">
        <f t="shared" si="24"/>
        <v>40.6360332</v>
      </c>
      <c r="AG51" s="88">
        <f t="shared" si="25"/>
        <v>42.317007600000004</v>
      </c>
      <c r="AH51" s="87">
        <v>43.997982</v>
      </c>
      <c r="AI51" s="88">
        <f t="shared" si="26"/>
        <v>45.678956400000004</v>
      </c>
      <c r="AJ51" s="88">
        <f t="shared" si="27"/>
        <v>47.359930800000001</v>
      </c>
      <c r="AK51" s="88">
        <f t="shared" si="28"/>
        <v>49.040905200000005</v>
      </c>
      <c r="AL51" s="88">
        <f t="shared" si="29"/>
        <v>50.721879600000001</v>
      </c>
      <c r="AM51" s="87">
        <v>52.402854000000005</v>
      </c>
      <c r="AN51" s="88">
        <f t="shared" si="30"/>
        <v>54.083828400000009</v>
      </c>
      <c r="AO51" s="88">
        <f t="shared" si="31"/>
        <v>55.764802800000005</v>
      </c>
      <c r="AP51" s="88">
        <f t="shared" si="32"/>
        <v>57.445777200000009</v>
      </c>
      <c r="AQ51" s="88">
        <f t="shared" si="33"/>
        <v>59.126751600000006</v>
      </c>
      <c r="AR51" s="87">
        <v>60.807726000000009</v>
      </c>
      <c r="AS51" s="88">
        <f t="shared" si="34"/>
        <v>62.488700400000013</v>
      </c>
      <c r="AT51" s="88">
        <f t="shared" si="35"/>
        <v>64.16967480000001</v>
      </c>
      <c r="AU51" s="88">
        <f t="shared" si="36"/>
        <v>65.850649200000007</v>
      </c>
      <c r="AV51" s="88">
        <f t="shared" si="37"/>
        <v>67.531623600000017</v>
      </c>
      <c r="AW51" s="88">
        <f t="shared" si="38"/>
        <v>69.212598000000014</v>
      </c>
      <c r="AX51" s="88">
        <f t="shared" si="39"/>
        <v>70.893572400000011</v>
      </c>
      <c r="AY51" s="88">
        <f t="shared" si="40"/>
        <v>72.574546800000007</v>
      </c>
      <c r="AZ51" s="88">
        <f t="shared" si="41"/>
        <v>74.255521200000004</v>
      </c>
      <c r="BA51" s="88">
        <f t="shared" si="42"/>
        <v>75.936495600000015</v>
      </c>
      <c r="BB51" s="87">
        <v>77.617470000000012</v>
      </c>
      <c r="BC51" s="88">
        <f t="shared" si="43"/>
        <v>79.298444400000008</v>
      </c>
      <c r="BD51" s="88">
        <f t="shared" si="44"/>
        <v>80.979418800000005</v>
      </c>
      <c r="BE51" s="88">
        <f t="shared" si="45"/>
        <v>82.660393200000016</v>
      </c>
      <c r="BF51" s="88">
        <f t="shared" si="46"/>
        <v>84.341367600000012</v>
      </c>
      <c r="BG51" s="88">
        <f t="shared" si="47"/>
        <v>86.022342000000009</v>
      </c>
      <c r="BH51" s="88">
        <f t="shared" si="48"/>
        <v>87.703316400000006</v>
      </c>
      <c r="BI51" s="88">
        <f t="shared" si="49"/>
        <v>89.384290800000002</v>
      </c>
      <c r="BJ51" s="88">
        <f t="shared" si="50"/>
        <v>91.065265200000013</v>
      </c>
      <c r="BK51" s="88">
        <f t="shared" si="51"/>
        <v>92.74623960000001</v>
      </c>
      <c r="BL51" s="87">
        <v>94.427214000000006</v>
      </c>
      <c r="BM51" s="88">
        <f t="shared" si="52"/>
        <v>96.108188400000003</v>
      </c>
      <c r="BN51" s="88">
        <f t="shared" si="53"/>
        <v>97.7891628</v>
      </c>
      <c r="BO51" s="88">
        <f t="shared" si="54"/>
        <v>99.470137200000011</v>
      </c>
      <c r="BP51" s="88">
        <f t="shared" si="55"/>
        <v>101.15111160000001</v>
      </c>
      <c r="BQ51" s="88">
        <f t="shared" si="56"/>
        <v>102.832086</v>
      </c>
      <c r="BR51" s="88">
        <f t="shared" si="57"/>
        <v>104.5130604</v>
      </c>
      <c r="BS51" s="88">
        <f t="shared" si="58"/>
        <v>106.1940348</v>
      </c>
      <c r="BT51" s="88">
        <f t="shared" si="59"/>
        <v>107.87500920000001</v>
      </c>
      <c r="BU51" s="88">
        <f t="shared" si="60"/>
        <v>109.5559836</v>
      </c>
      <c r="BV51" s="87">
        <v>111.236958</v>
      </c>
      <c r="BW51" s="88">
        <f t="shared" si="61"/>
        <v>112.9179324</v>
      </c>
      <c r="BX51" s="88">
        <f t="shared" si="62"/>
        <v>114.59890680000001</v>
      </c>
      <c r="BY51" s="88">
        <f t="shared" si="63"/>
        <v>116.27988120000001</v>
      </c>
      <c r="BZ51" s="88">
        <f t="shared" si="64"/>
        <v>117.96085560000002</v>
      </c>
      <c r="CA51" s="87">
        <v>119.64183000000001</v>
      </c>
      <c r="CB51" s="88">
        <f t="shared" si="65"/>
        <v>121.32280440000001</v>
      </c>
      <c r="CC51" s="88">
        <f t="shared" si="66"/>
        <v>123.00377880000001</v>
      </c>
      <c r="CD51" s="88">
        <f t="shared" si="67"/>
        <v>124.68475320000002</v>
      </c>
      <c r="CE51" s="88">
        <f t="shared" si="68"/>
        <v>126.36572760000001</v>
      </c>
      <c r="CF51" s="87">
        <v>128.04670200000001</v>
      </c>
      <c r="CG51" s="88">
        <f t="shared" si="69"/>
        <v>129.72767640000001</v>
      </c>
      <c r="CH51" s="88">
        <f t="shared" si="70"/>
        <v>131.4086508</v>
      </c>
      <c r="CI51" s="88">
        <f t="shared" si="71"/>
        <v>133.0896252</v>
      </c>
      <c r="CJ51" s="88">
        <f t="shared" si="72"/>
        <v>134.7705996</v>
      </c>
      <c r="CK51" s="87">
        <v>136.45157399999999</v>
      </c>
      <c r="CL51" s="88">
        <f t="shared" si="73"/>
        <v>138.13254839999999</v>
      </c>
      <c r="CM51" s="88">
        <f t="shared" si="74"/>
        <v>139.81352279999999</v>
      </c>
      <c r="CN51" s="88">
        <f t="shared" si="75"/>
        <v>141.49449719999998</v>
      </c>
      <c r="CO51" s="88">
        <f t="shared" si="76"/>
        <v>143.17547160000001</v>
      </c>
      <c r="CP51" s="88">
        <f t="shared" si="77"/>
        <v>144.85644600000001</v>
      </c>
      <c r="CQ51" s="88">
        <f t="shared" si="78"/>
        <v>146.5374204</v>
      </c>
      <c r="CR51" s="88">
        <f t="shared" si="79"/>
        <v>148.2183948</v>
      </c>
      <c r="CS51" s="88">
        <f t="shared" si="80"/>
        <v>149.8993692</v>
      </c>
      <c r="CT51" s="88">
        <f t="shared" si="81"/>
        <v>151.58034359999999</v>
      </c>
      <c r="CU51" s="88">
        <f t="shared" si="82"/>
        <v>153.26131799999999</v>
      </c>
      <c r="CV51" s="88">
        <f t="shared" si="83"/>
        <v>154.94229239999999</v>
      </c>
      <c r="CW51" s="88">
        <f t="shared" si="84"/>
        <v>156.62326680000001</v>
      </c>
      <c r="CX51" s="88">
        <f t="shared" si="85"/>
        <v>158.30424120000001</v>
      </c>
      <c r="CY51" s="89">
        <v>159.9852156</v>
      </c>
      <c r="CZ51" s="1"/>
    </row>
    <row r="52" spans="2:104" hidden="1" x14ac:dyDescent="0.25">
      <c r="B52" s="58"/>
      <c r="C52" s="77">
        <f t="shared" si="86"/>
        <v>3000</v>
      </c>
      <c r="D52" s="87">
        <v>0</v>
      </c>
      <c r="E52" s="88">
        <f t="shared" si="2"/>
        <v>2.914214342857143</v>
      </c>
      <c r="F52" s="88">
        <f t="shared" si="3"/>
        <v>5.828428685714286</v>
      </c>
      <c r="G52" s="88">
        <f t="shared" si="4"/>
        <v>8.7426430285714289</v>
      </c>
      <c r="H52" s="88">
        <f t="shared" si="5"/>
        <v>11.656857371428572</v>
      </c>
      <c r="I52" s="87">
        <v>14.571071714285715</v>
      </c>
      <c r="J52" s="88">
        <f t="shared" si="6"/>
        <v>16.615178914285714</v>
      </c>
      <c r="K52" s="88">
        <f t="shared" si="7"/>
        <v>18.659286114285713</v>
      </c>
      <c r="L52" s="88">
        <f t="shared" si="8"/>
        <v>20.703393314285716</v>
      </c>
      <c r="M52" s="88">
        <f t="shared" si="9"/>
        <v>22.747500514285715</v>
      </c>
      <c r="N52" s="87">
        <v>24.791607714285714</v>
      </c>
      <c r="O52" s="88">
        <f t="shared" si="10"/>
        <v>25.246834914285714</v>
      </c>
      <c r="P52" s="88">
        <f t="shared" si="11"/>
        <v>25.702062114285717</v>
      </c>
      <c r="Q52" s="88">
        <f t="shared" si="12"/>
        <v>26.157289314285716</v>
      </c>
      <c r="R52" s="88">
        <f t="shared" si="13"/>
        <v>26.612516514285719</v>
      </c>
      <c r="S52" s="87">
        <v>27.067743714285719</v>
      </c>
      <c r="T52" s="88">
        <f t="shared" si="14"/>
        <v>27.770713771428575</v>
      </c>
      <c r="U52" s="88">
        <f t="shared" si="15"/>
        <v>28.473683828571435</v>
      </c>
      <c r="V52" s="88">
        <f t="shared" si="16"/>
        <v>29.176653885714291</v>
      </c>
      <c r="W52" s="88">
        <f t="shared" si="17"/>
        <v>29.879623942857151</v>
      </c>
      <c r="X52" s="87">
        <v>30.582594000000007</v>
      </c>
      <c r="Y52" s="88">
        <f t="shared" si="18"/>
        <v>31.717575485714292</v>
      </c>
      <c r="Z52" s="88">
        <f t="shared" si="19"/>
        <v>32.852556971428577</v>
      </c>
      <c r="AA52" s="88">
        <f t="shared" si="20"/>
        <v>33.987538457142861</v>
      </c>
      <c r="AB52" s="88">
        <f t="shared" si="21"/>
        <v>35.122519942857146</v>
      </c>
      <c r="AC52" s="87">
        <v>36.25750142857143</v>
      </c>
      <c r="AD52" s="88">
        <f t="shared" si="22"/>
        <v>37.935208628571431</v>
      </c>
      <c r="AE52" s="88">
        <f t="shared" si="23"/>
        <v>39.612915828571431</v>
      </c>
      <c r="AF52" s="88">
        <f t="shared" si="24"/>
        <v>41.290623028571432</v>
      </c>
      <c r="AG52" s="88">
        <f t="shared" si="25"/>
        <v>42.968330228571432</v>
      </c>
      <c r="AH52" s="87">
        <v>44.646037428571432</v>
      </c>
      <c r="AI52" s="88">
        <f t="shared" si="26"/>
        <v>46.323744628571433</v>
      </c>
      <c r="AJ52" s="88">
        <f t="shared" si="27"/>
        <v>48.001451828571433</v>
      </c>
      <c r="AK52" s="88">
        <f t="shared" si="28"/>
        <v>49.679159028571434</v>
      </c>
      <c r="AL52" s="88">
        <f t="shared" si="29"/>
        <v>51.356866228571434</v>
      </c>
      <c r="AM52" s="87">
        <v>53.034573428571434</v>
      </c>
      <c r="AN52" s="88">
        <f t="shared" si="30"/>
        <v>54.712280628571435</v>
      </c>
      <c r="AO52" s="88">
        <f t="shared" si="31"/>
        <v>56.389987828571435</v>
      </c>
      <c r="AP52" s="88">
        <f t="shared" si="32"/>
        <v>58.067695028571436</v>
      </c>
      <c r="AQ52" s="88">
        <f t="shared" si="33"/>
        <v>59.745402228571436</v>
      </c>
      <c r="AR52" s="87">
        <v>61.423109428571436</v>
      </c>
      <c r="AS52" s="88">
        <f t="shared" si="34"/>
        <v>63.100816628571437</v>
      </c>
      <c r="AT52" s="88">
        <f t="shared" si="35"/>
        <v>64.778523828571437</v>
      </c>
      <c r="AU52" s="88">
        <f t="shared" si="36"/>
        <v>66.456231028571437</v>
      </c>
      <c r="AV52" s="88">
        <f t="shared" si="37"/>
        <v>68.133938228571438</v>
      </c>
      <c r="AW52" s="88">
        <f t="shared" si="38"/>
        <v>69.811645428571438</v>
      </c>
      <c r="AX52" s="88">
        <f t="shared" si="39"/>
        <v>71.489352628571424</v>
      </c>
      <c r="AY52" s="88">
        <f t="shared" si="40"/>
        <v>73.167059828571425</v>
      </c>
      <c r="AZ52" s="88">
        <f t="shared" si="41"/>
        <v>74.844767028571425</v>
      </c>
      <c r="BA52" s="88">
        <f t="shared" si="42"/>
        <v>76.522474228571426</v>
      </c>
      <c r="BB52" s="87">
        <v>78.200181428571426</v>
      </c>
      <c r="BC52" s="88">
        <f t="shared" si="43"/>
        <v>79.877888628571426</v>
      </c>
      <c r="BD52" s="88">
        <f t="shared" si="44"/>
        <v>81.555595828571427</v>
      </c>
      <c r="BE52" s="88">
        <f t="shared" si="45"/>
        <v>83.233303028571427</v>
      </c>
      <c r="BF52" s="88">
        <f t="shared" si="46"/>
        <v>84.911010228571428</v>
      </c>
      <c r="BG52" s="88">
        <f t="shared" si="47"/>
        <v>86.588717428571428</v>
      </c>
      <c r="BH52" s="88">
        <f t="shared" si="48"/>
        <v>88.266424628571428</v>
      </c>
      <c r="BI52" s="88">
        <f t="shared" si="49"/>
        <v>89.944131828571429</v>
      </c>
      <c r="BJ52" s="88">
        <f t="shared" si="50"/>
        <v>91.621839028571429</v>
      </c>
      <c r="BK52" s="88">
        <f t="shared" si="51"/>
        <v>93.29954622857143</v>
      </c>
      <c r="BL52" s="87">
        <v>94.97725342857143</v>
      </c>
      <c r="BM52" s="88">
        <f t="shared" si="52"/>
        <v>96.65496062857143</v>
      </c>
      <c r="BN52" s="88">
        <f t="shared" si="53"/>
        <v>98.332667828571431</v>
      </c>
      <c r="BO52" s="88">
        <f t="shared" si="54"/>
        <v>100.01037502857143</v>
      </c>
      <c r="BP52" s="88">
        <f t="shared" si="55"/>
        <v>101.68808222857143</v>
      </c>
      <c r="BQ52" s="88">
        <f t="shared" si="56"/>
        <v>103.36578942857142</v>
      </c>
      <c r="BR52" s="88">
        <f t="shared" si="57"/>
        <v>105.04349662857143</v>
      </c>
      <c r="BS52" s="88">
        <f t="shared" si="58"/>
        <v>106.72120382857142</v>
      </c>
      <c r="BT52" s="88">
        <f t="shared" si="59"/>
        <v>108.39891102857142</v>
      </c>
      <c r="BU52" s="88">
        <f t="shared" si="60"/>
        <v>110.07661822857142</v>
      </c>
      <c r="BV52" s="87">
        <v>111.75432542857142</v>
      </c>
      <c r="BW52" s="88">
        <f t="shared" si="61"/>
        <v>113.43203262857142</v>
      </c>
      <c r="BX52" s="88">
        <f t="shared" si="62"/>
        <v>115.10973982857142</v>
      </c>
      <c r="BY52" s="88">
        <f t="shared" si="63"/>
        <v>116.78744702857144</v>
      </c>
      <c r="BZ52" s="88">
        <f t="shared" si="64"/>
        <v>118.46515422857144</v>
      </c>
      <c r="CA52" s="87">
        <v>120.14286142857144</v>
      </c>
      <c r="CB52" s="88">
        <f t="shared" si="65"/>
        <v>121.82056862857144</v>
      </c>
      <c r="CC52" s="88">
        <f t="shared" si="66"/>
        <v>123.49827582857144</v>
      </c>
      <c r="CD52" s="88">
        <f t="shared" si="67"/>
        <v>125.17598302857144</v>
      </c>
      <c r="CE52" s="88">
        <f t="shared" si="68"/>
        <v>126.85369022857144</v>
      </c>
      <c r="CF52" s="87">
        <v>128.53139742857144</v>
      </c>
      <c r="CG52" s="88">
        <f t="shared" si="69"/>
        <v>130.20910462857142</v>
      </c>
      <c r="CH52" s="88">
        <f t="shared" si="70"/>
        <v>131.88681182857144</v>
      </c>
      <c r="CI52" s="88">
        <f t="shared" si="71"/>
        <v>133.56451902857142</v>
      </c>
      <c r="CJ52" s="88">
        <f t="shared" si="72"/>
        <v>135.24222622857144</v>
      </c>
      <c r="CK52" s="87">
        <v>136.91993342857143</v>
      </c>
      <c r="CL52" s="88">
        <f t="shared" si="73"/>
        <v>138.59764062857144</v>
      </c>
      <c r="CM52" s="88">
        <f t="shared" si="74"/>
        <v>140.27534782857143</v>
      </c>
      <c r="CN52" s="88">
        <f t="shared" si="75"/>
        <v>141.95305502857144</v>
      </c>
      <c r="CO52" s="88">
        <f t="shared" si="76"/>
        <v>143.63076222857143</v>
      </c>
      <c r="CP52" s="88">
        <f t="shared" si="77"/>
        <v>145.30846942857144</v>
      </c>
      <c r="CQ52" s="88">
        <f t="shared" si="78"/>
        <v>146.98617662857143</v>
      </c>
      <c r="CR52" s="88">
        <f t="shared" si="79"/>
        <v>148.66388382857144</v>
      </c>
      <c r="CS52" s="88">
        <f t="shared" si="80"/>
        <v>150.34159102857146</v>
      </c>
      <c r="CT52" s="88">
        <f t="shared" si="81"/>
        <v>152.01929822857144</v>
      </c>
      <c r="CU52" s="88">
        <f t="shared" si="82"/>
        <v>153.69700542857146</v>
      </c>
      <c r="CV52" s="88">
        <f t="shared" si="83"/>
        <v>155.37471262857144</v>
      </c>
      <c r="CW52" s="88">
        <f t="shared" si="84"/>
        <v>157.05241982857146</v>
      </c>
      <c r="CX52" s="88">
        <f t="shared" si="85"/>
        <v>158.73012702857145</v>
      </c>
      <c r="CY52" s="89">
        <v>160.40783422857146</v>
      </c>
      <c r="CZ52" s="1"/>
    </row>
    <row r="53" spans="2:104" hidden="1" x14ac:dyDescent="0.25">
      <c r="B53" s="58"/>
      <c r="C53" s="77">
        <f t="shared" si="86"/>
        <v>3520</v>
      </c>
      <c r="D53" s="87">
        <v>0</v>
      </c>
      <c r="E53" s="88">
        <f t="shared" si="2"/>
        <v>3.0730304761904765</v>
      </c>
      <c r="F53" s="88">
        <f t="shared" si="3"/>
        <v>6.1460609523809531</v>
      </c>
      <c r="G53" s="88">
        <f t="shared" si="4"/>
        <v>9.2190914285714296</v>
      </c>
      <c r="H53" s="88">
        <f t="shared" si="5"/>
        <v>12.292121904761906</v>
      </c>
      <c r="I53" s="87">
        <v>15.365152380952383</v>
      </c>
      <c r="J53" s="88">
        <f t="shared" si="6"/>
        <v>17.405992380952384</v>
      </c>
      <c r="K53" s="88">
        <f t="shared" si="7"/>
        <v>19.446832380952383</v>
      </c>
      <c r="L53" s="88">
        <f t="shared" si="8"/>
        <v>21.487672380952382</v>
      </c>
      <c r="M53" s="88">
        <f t="shared" si="9"/>
        <v>23.528512380952382</v>
      </c>
      <c r="N53" s="87">
        <v>25.569352380952381</v>
      </c>
      <c r="O53" s="88">
        <f t="shared" si="10"/>
        <v>26.081979047619047</v>
      </c>
      <c r="P53" s="88">
        <f t="shared" si="11"/>
        <v>26.594605714285713</v>
      </c>
      <c r="Q53" s="88">
        <f t="shared" si="12"/>
        <v>27.107232380952382</v>
      </c>
      <c r="R53" s="88">
        <f t="shared" si="13"/>
        <v>27.619859047619048</v>
      </c>
      <c r="S53" s="87">
        <v>28.132485714285714</v>
      </c>
      <c r="T53" s="88">
        <f t="shared" si="14"/>
        <v>28.78576</v>
      </c>
      <c r="U53" s="88">
        <f t="shared" si="15"/>
        <v>29.439034285714285</v>
      </c>
      <c r="V53" s="88">
        <f t="shared" si="16"/>
        <v>30.092308571428575</v>
      </c>
      <c r="W53" s="88">
        <f t="shared" si="17"/>
        <v>30.74558285714286</v>
      </c>
      <c r="X53" s="87">
        <v>31.398857142857146</v>
      </c>
      <c r="Y53" s="88">
        <f t="shared" si="18"/>
        <v>32.515095238095242</v>
      </c>
      <c r="Z53" s="88">
        <f t="shared" si="19"/>
        <v>33.631333333333338</v>
      </c>
      <c r="AA53" s="88">
        <f t="shared" si="20"/>
        <v>34.747571428571433</v>
      </c>
      <c r="AB53" s="88">
        <f t="shared" si="21"/>
        <v>35.863809523809529</v>
      </c>
      <c r="AC53" s="87">
        <v>36.980047619047625</v>
      </c>
      <c r="AD53" s="88">
        <f t="shared" si="22"/>
        <v>38.654487619047622</v>
      </c>
      <c r="AE53" s="88">
        <f t="shared" si="23"/>
        <v>40.328927619047626</v>
      </c>
      <c r="AF53" s="88">
        <f t="shared" si="24"/>
        <v>42.003367619047623</v>
      </c>
      <c r="AG53" s="88">
        <f t="shared" si="25"/>
        <v>43.677807619047627</v>
      </c>
      <c r="AH53" s="87">
        <v>45.352247619047624</v>
      </c>
      <c r="AI53" s="88">
        <f t="shared" si="26"/>
        <v>47.026687619047621</v>
      </c>
      <c r="AJ53" s="88">
        <f t="shared" si="27"/>
        <v>48.701127619047625</v>
      </c>
      <c r="AK53" s="88">
        <f t="shared" si="28"/>
        <v>50.375567619047622</v>
      </c>
      <c r="AL53" s="88">
        <f t="shared" si="29"/>
        <v>52.050007619047626</v>
      </c>
      <c r="AM53" s="87">
        <v>53.724447619047623</v>
      </c>
      <c r="AN53" s="88">
        <f t="shared" si="30"/>
        <v>55.398887619047628</v>
      </c>
      <c r="AO53" s="88">
        <f t="shared" si="31"/>
        <v>57.073327619047625</v>
      </c>
      <c r="AP53" s="88">
        <f t="shared" si="32"/>
        <v>58.747767619047629</v>
      </c>
      <c r="AQ53" s="88">
        <f t="shared" si="33"/>
        <v>60.422207619047626</v>
      </c>
      <c r="AR53" s="87">
        <v>62.09664761904763</v>
      </c>
      <c r="AS53" s="88">
        <f t="shared" si="34"/>
        <v>63.771087619047627</v>
      </c>
      <c r="AT53" s="88">
        <f t="shared" si="35"/>
        <v>65.445527619047624</v>
      </c>
      <c r="AU53" s="88">
        <f t="shared" si="36"/>
        <v>67.119967619047628</v>
      </c>
      <c r="AV53" s="88">
        <f t="shared" si="37"/>
        <v>68.794407619047632</v>
      </c>
      <c r="AW53" s="88">
        <f t="shared" si="38"/>
        <v>70.468847619047636</v>
      </c>
      <c r="AX53" s="88">
        <f t="shared" si="39"/>
        <v>72.143287619047626</v>
      </c>
      <c r="AY53" s="88">
        <f t="shared" si="40"/>
        <v>73.817727619047631</v>
      </c>
      <c r="AZ53" s="88">
        <f t="shared" si="41"/>
        <v>75.492167619047635</v>
      </c>
      <c r="BA53" s="88">
        <f t="shared" si="42"/>
        <v>77.166607619047625</v>
      </c>
      <c r="BB53" s="87">
        <v>78.841047619047629</v>
      </c>
      <c r="BC53" s="88">
        <f t="shared" si="43"/>
        <v>80.515487619047633</v>
      </c>
      <c r="BD53" s="88">
        <f t="shared" si="44"/>
        <v>82.189927619047623</v>
      </c>
      <c r="BE53" s="88">
        <f t="shared" si="45"/>
        <v>83.864367619047627</v>
      </c>
      <c r="BF53" s="88">
        <f t="shared" si="46"/>
        <v>85.538807619047631</v>
      </c>
      <c r="BG53" s="88">
        <f t="shared" si="47"/>
        <v>87.213247619047621</v>
      </c>
      <c r="BH53" s="88">
        <f t="shared" si="48"/>
        <v>88.887687619047625</v>
      </c>
      <c r="BI53" s="88">
        <f t="shared" si="49"/>
        <v>90.562127619047629</v>
      </c>
      <c r="BJ53" s="88">
        <f t="shared" si="50"/>
        <v>92.236567619047634</v>
      </c>
      <c r="BK53" s="88">
        <f t="shared" si="51"/>
        <v>93.911007619047624</v>
      </c>
      <c r="BL53" s="87">
        <v>95.585447619047628</v>
      </c>
      <c r="BM53" s="88">
        <f t="shared" si="52"/>
        <v>97.259887619047632</v>
      </c>
      <c r="BN53" s="88">
        <f t="shared" si="53"/>
        <v>98.934327619047622</v>
      </c>
      <c r="BO53" s="88">
        <f t="shared" si="54"/>
        <v>100.60876761904763</v>
      </c>
      <c r="BP53" s="88">
        <f t="shared" si="55"/>
        <v>102.28320761904763</v>
      </c>
      <c r="BQ53" s="88">
        <f t="shared" si="56"/>
        <v>103.95764761904763</v>
      </c>
      <c r="BR53" s="88">
        <f t="shared" si="57"/>
        <v>105.63208761904762</v>
      </c>
      <c r="BS53" s="88">
        <f t="shared" si="58"/>
        <v>107.30652761904763</v>
      </c>
      <c r="BT53" s="88">
        <f t="shared" si="59"/>
        <v>108.98096761904763</v>
      </c>
      <c r="BU53" s="88">
        <f t="shared" si="60"/>
        <v>110.65540761904762</v>
      </c>
      <c r="BV53" s="87">
        <v>112.32984761904763</v>
      </c>
      <c r="BW53" s="88">
        <f t="shared" si="61"/>
        <v>114.00428761904763</v>
      </c>
      <c r="BX53" s="88">
        <f t="shared" si="62"/>
        <v>115.67872761904763</v>
      </c>
      <c r="BY53" s="88">
        <f t="shared" si="63"/>
        <v>117.35316761904762</v>
      </c>
      <c r="BZ53" s="88">
        <f t="shared" si="64"/>
        <v>119.02760761904763</v>
      </c>
      <c r="CA53" s="87">
        <v>120.70204761904763</v>
      </c>
      <c r="CB53" s="88">
        <f t="shared" si="65"/>
        <v>122.37648761904764</v>
      </c>
      <c r="CC53" s="88">
        <f t="shared" si="66"/>
        <v>124.05092761904764</v>
      </c>
      <c r="CD53" s="88">
        <f t="shared" si="67"/>
        <v>125.72536761904763</v>
      </c>
      <c r="CE53" s="88">
        <f t="shared" si="68"/>
        <v>127.39980761904764</v>
      </c>
      <c r="CF53" s="87">
        <v>129.07424761904764</v>
      </c>
      <c r="CG53" s="88">
        <f t="shared" si="69"/>
        <v>130.74868761904764</v>
      </c>
      <c r="CH53" s="88">
        <f t="shared" si="70"/>
        <v>132.42312761904762</v>
      </c>
      <c r="CI53" s="88">
        <f t="shared" si="71"/>
        <v>134.09756761904762</v>
      </c>
      <c r="CJ53" s="88">
        <f t="shared" si="72"/>
        <v>135.7720076190476</v>
      </c>
      <c r="CK53" s="87">
        <v>137.4464476190476</v>
      </c>
      <c r="CL53" s="88">
        <f t="shared" si="73"/>
        <v>139.12088761904761</v>
      </c>
      <c r="CM53" s="88">
        <f t="shared" si="74"/>
        <v>140.79532761904761</v>
      </c>
      <c r="CN53" s="88">
        <f t="shared" si="75"/>
        <v>142.46976761904762</v>
      </c>
      <c r="CO53" s="88">
        <f t="shared" si="76"/>
        <v>144.14420761904762</v>
      </c>
      <c r="CP53" s="88">
        <f t="shared" si="77"/>
        <v>145.81864761904762</v>
      </c>
      <c r="CQ53" s="88">
        <f t="shared" si="78"/>
        <v>147.49308761904763</v>
      </c>
      <c r="CR53" s="88">
        <f t="shared" si="79"/>
        <v>149.16752761904763</v>
      </c>
      <c r="CS53" s="88">
        <f t="shared" si="80"/>
        <v>150.84196761904761</v>
      </c>
      <c r="CT53" s="88">
        <f t="shared" si="81"/>
        <v>152.51640761904761</v>
      </c>
      <c r="CU53" s="88">
        <f t="shared" si="82"/>
        <v>154.19084761904762</v>
      </c>
      <c r="CV53" s="88">
        <f t="shared" si="83"/>
        <v>155.86528761904762</v>
      </c>
      <c r="CW53" s="88">
        <f t="shared" si="84"/>
        <v>157.53972761904762</v>
      </c>
      <c r="CX53" s="88">
        <f t="shared" si="85"/>
        <v>159.21416761904763</v>
      </c>
      <c r="CY53" s="89">
        <v>160.88860761904763</v>
      </c>
      <c r="CZ53" s="1"/>
    </row>
    <row r="54" spans="2:104" hidden="1" x14ac:dyDescent="0.25">
      <c r="B54" s="58"/>
      <c r="C54" s="77">
        <f t="shared" si="86"/>
        <v>4000</v>
      </c>
      <c r="D54" s="87">
        <v>0</v>
      </c>
      <c r="E54" s="88">
        <f t="shared" si="2"/>
        <v>3.2164815238095237</v>
      </c>
      <c r="F54" s="88">
        <f t="shared" si="3"/>
        <v>6.4329630476190474</v>
      </c>
      <c r="G54" s="88">
        <f t="shared" si="4"/>
        <v>9.649444571428571</v>
      </c>
      <c r="H54" s="88">
        <f t="shared" si="5"/>
        <v>12.865926095238095</v>
      </c>
      <c r="I54" s="87">
        <v>16.082407619047618</v>
      </c>
      <c r="J54" s="88">
        <f t="shared" si="6"/>
        <v>18.11507961904762</v>
      </c>
      <c r="K54" s="88">
        <f t="shared" si="7"/>
        <v>20.147751619047618</v>
      </c>
      <c r="L54" s="88">
        <f t="shared" si="8"/>
        <v>22.18042361904762</v>
      </c>
      <c r="M54" s="88">
        <f t="shared" si="9"/>
        <v>24.213095619047621</v>
      </c>
      <c r="N54" s="87">
        <v>26.245767619047619</v>
      </c>
      <c r="O54" s="88">
        <f t="shared" si="10"/>
        <v>26.806226285714285</v>
      </c>
      <c r="P54" s="88">
        <f t="shared" si="11"/>
        <v>27.366684952380954</v>
      </c>
      <c r="Q54" s="88">
        <f t="shared" si="12"/>
        <v>27.927143619047619</v>
      </c>
      <c r="R54" s="88">
        <f t="shared" si="13"/>
        <v>28.487602285714289</v>
      </c>
      <c r="S54" s="87">
        <v>29.048060952380954</v>
      </c>
      <c r="T54" s="88">
        <f t="shared" si="14"/>
        <v>29.650310095238098</v>
      </c>
      <c r="U54" s="88">
        <f t="shared" si="15"/>
        <v>30.252559238095241</v>
      </c>
      <c r="V54" s="88">
        <f t="shared" si="16"/>
        <v>30.854808380952385</v>
      </c>
      <c r="W54" s="88">
        <f t="shared" si="17"/>
        <v>31.457057523809528</v>
      </c>
      <c r="X54" s="87">
        <v>32.059306666666672</v>
      </c>
      <c r="Y54" s="88">
        <f t="shared" si="18"/>
        <v>33.15309104761905</v>
      </c>
      <c r="Z54" s="88">
        <f t="shared" si="19"/>
        <v>34.246875428571428</v>
      </c>
      <c r="AA54" s="88">
        <f t="shared" si="20"/>
        <v>35.340659809523814</v>
      </c>
      <c r="AB54" s="88">
        <f t="shared" si="21"/>
        <v>36.434444190476192</v>
      </c>
      <c r="AC54" s="87">
        <v>37.528228571428571</v>
      </c>
      <c r="AD54" s="88">
        <f t="shared" si="22"/>
        <v>39.19450057142857</v>
      </c>
      <c r="AE54" s="88">
        <f t="shared" si="23"/>
        <v>40.860772571428576</v>
      </c>
      <c r="AF54" s="88">
        <f t="shared" si="24"/>
        <v>42.527044571428576</v>
      </c>
      <c r="AG54" s="88">
        <f t="shared" si="25"/>
        <v>44.193316571428582</v>
      </c>
      <c r="AH54" s="87">
        <v>45.859588571428581</v>
      </c>
      <c r="AI54" s="88">
        <f t="shared" si="26"/>
        <v>47.525860571428581</v>
      </c>
      <c r="AJ54" s="88">
        <f t="shared" si="27"/>
        <v>49.19213257142858</v>
      </c>
      <c r="AK54" s="88">
        <f t="shared" si="28"/>
        <v>50.858404571428579</v>
      </c>
      <c r="AL54" s="88">
        <f t="shared" si="29"/>
        <v>52.524676571428571</v>
      </c>
      <c r="AM54" s="87">
        <v>54.190948571428571</v>
      </c>
      <c r="AN54" s="88">
        <f t="shared" si="30"/>
        <v>55.85722057142857</v>
      </c>
      <c r="AO54" s="88">
        <f t="shared" si="31"/>
        <v>57.523492571428569</v>
      </c>
      <c r="AP54" s="88">
        <f t="shared" si="32"/>
        <v>59.189764571428569</v>
      </c>
      <c r="AQ54" s="88">
        <f t="shared" si="33"/>
        <v>60.856036571428575</v>
      </c>
      <c r="AR54" s="87">
        <v>62.522308571428574</v>
      </c>
      <c r="AS54" s="88">
        <f t="shared" si="34"/>
        <v>64.188580571428574</v>
      </c>
      <c r="AT54" s="88">
        <f t="shared" si="35"/>
        <v>65.85485257142858</v>
      </c>
      <c r="AU54" s="88">
        <f t="shared" si="36"/>
        <v>67.521124571428572</v>
      </c>
      <c r="AV54" s="88">
        <f t="shared" si="37"/>
        <v>69.187396571428579</v>
      </c>
      <c r="AW54" s="88">
        <f t="shared" si="38"/>
        <v>70.853668571428571</v>
      </c>
      <c r="AX54" s="88">
        <f t="shared" si="39"/>
        <v>72.519940571428577</v>
      </c>
      <c r="AY54" s="88">
        <f t="shared" si="40"/>
        <v>74.18621257142857</v>
      </c>
      <c r="AZ54" s="88">
        <f t="shared" si="41"/>
        <v>75.852484571428576</v>
      </c>
      <c r="BA54" s="88">
        <f t="shared" si="42"/>
        <v>77.518756571428568</v>
      </c>
      <c r="BB54" s="87">
        <v>79.185028571428575</v>
      </c>
      <c r="BC54" s="88">
        <f t="shared" si="43"/>
        <v>80.851300571428567</v>
      </c>
      <c r="BD54" s="88">
        <f t="shared" si="44"/>
        <v>82.517572571428573</v>
      </c>
      <c r="BE54" s="88">
        <f t="shared" si="45"/>
        <v>84.18384457142858</v>
      </c>
      <c r="BF54" s="88">
        <f t="shared" si="46"/>
        <v>85.850116571428572</v>
      </c>
      <c r="BG54" s="88">
        <f t="shared" si="47"/>
        <v>87.516388571428564</v>
      </c>
      <c r="BH54" s="88">
        <f t="shared" si="48"/>
        <v>89.182660571428571</v>
      </c>
      <c r="BI54" s="88">
        <f t="shared" si="49"/>
        <v>90.848932571428577</v>
      </c>
      <c r="BJ54" s="88">
        <f t="shared" si="50"/>
        <v>92.515204571428569</v>
      </c>
      <c r="BK54" s="88">
        <f t="shared" si="51"/>
        <v>94.181476571428561</v>
      </c>
      <c r="BL54" s="87">
        <v>95.847748571428568</v>
      </c>
      <c r="BM54" s="88">
        <f t="shared" si="52"/>
        <v>97.514020571428574</v>
      </c>
      <c r="BN54" s="88">
        <f t="shared" si="53"/>
        <v>99.180292571428566</v>
      </c>
      <c r="BO54" s="88">
        <f t="shared" si="54"/>
        <v>100.84656457142857</v>
      </c>
      <c r="BP54" s="88">
        <f t="shared" si="55"/>
        <v>102.51283657142856</v>
      </c>
      <c r="BQ54" s="88">
        <f t="shared" si="56"/>
        <v>104.17910857142857</v>
      </c>
      <c r="BR54" s="88">
        <f t="shared" si="57"/>
        <v>105.84538057142856</v>
      </c>
      <c r="BS54" s="88">
        <f t="shared" si="58"/>
        <v>107.51165257142857</v>
      </c>
      <c r="BT54" s="88">
        <f t="shared" si="59"/>
        <v>109.17792457142858</v>
      </c>
      <c r="BU54" s="88">
        <f t="shared" si="60"/>
        <v>110.84419657142857</v>
      </c>
      <c r="BV54" s="87">
        <v>112.51046857142858</v>
      </c>
      <c r="BW54" s="88">
        <f t="shared" si="61"/>
        <v>114.17674057142858</v>
      </c>
      <c r="BX54" s="88">
        <f t="shared" si="62"/>
        <v>115.84301257142857</v>
      </c>
      <c r="BY54" s="88">
        <f t="shared" si="63"/>
        <v>117.50928457142858</v>
      </c>
      <c r="BZ54" s="88">
        <f t="shared" si="64"/>
        <v>119.17555657142857</v>
      </c>
      <c r="CA54" s="87">
        <v>120.84182857142858</v>
      </c>
      <c r="CB54" s="88">
        <f t="shared" si="65"/>
        <v>122.50810057142859</v>
      </c>
      <c r="CC54" s="88">
        <f t="shared" si="66"/>
        <v>124.17437257142859</v>
      </c>
      <c r="CD54" s="88">
        <f t="shared" si="67"/>
        <v>125.84064457142858</v>
      </c>
      <c r="CE54" s="88">
        <f t="shared" si="68"/>
        <v>127.50691657142859</v>
      </c>
      <c r="CF54" s="87">
        <v>129.1731885714286</v>
      </c>
      <c r="CG54" s="88">
        <f t="shared" si="69"/>
        <v>130.83946057142859</v>
      </c>
      <c r="CH54" s="88">
        <f t="shared" si="70"/>
        <v>132.50573257142858</v>
      </c>
      <c r="CI54" s="88">
        <f t="shared" si="71"/>
        <v>134.1720045714286</v>
      </c>
      <c r="CJ54" s="88">
        <f t="shared" si="72"/>
        <v>135.83827657142859</v>
      </c>
      <c r="CK54" s="87">
        <v>137.50454857142859</v>
      </c>
      <c r="CL54" s="88">
        <f t="shared" si="73"/>
        <v>139.17082057142858</v>
      </c>
      <c r="CM54" s="88">
        <f t="shared" si="74"/>
        <v>140.8370925714286</v>
      </c>
      <c r="CN54" s="88">
        <f t="shared" si="75"/>
        <v>142.50336457142859</v>
      </c>
      <c r="CO54" s="88">
        <f t="shared" si="76"/>
        <v>144.16963657142858</v>
      </c>
      <c r="CP54" s="88">
        <f t="shared" si="77"/>
        <v>145.83590857142858</v>
      </c>
      <c r="CQ54" s="88">
        <f t="shared" si="78"/>
        <v>147.5021805714286</v>
      </c>
      <c r="CR54" s="88">
        <f t="shared" si="79"/>
        <v>149.16845257142859</v>
      </c>
      <c r="CS54" s="88">
        <f t="shared" si="80"/>
        <v>150.83472457142858</v>
      </c>
      <c r="CT54" s="88">
        <f t="shared" si="81"/>
        <v>152.5009965714286</v>
      </c>
      <c r="CU54" s="88">
        <f t="shared" si="82"/>
        <v>154.16726857142859</v>
      </c>
      <c r="CV54" s="88">
        <f t="shared" si="83"/>
        <v>155.83354057142859</v>
      </c>
      <c r="CW54" s="88">
        <f t="shared" si="84"/>
        <v>157.49981257142861</v>
      </c>
      <c r="CX54" s="88">
        <f t="shared" si="85"/>
        <v>159.1660845714286</v>
      </c>
      <c r="CY54" s="89">
        <v>160.83235657142859</v>
      </c>
      <c r="CZ54" s="1"/>
    </row>
    <row r="55" spans="2:104" hidden="1" x14ac:dyDescent="0.25">
      <c r="B55" s="58"/>
      <c r="C55" s="77">
        <f t="shared" si="86"/>
        <v>4520</v>
      </c>
      <c r="D55" s="87">
        <v>0</v>
      </c>
      <c r="E55" s="88">
        <f t="shared" si="2"/>
        <v>3.3706825714285715</v>
      </c>
      <c r="F55" s="88">
        <f t="shared" si="3"/>
        <v>6.7413651428571431</v>
      </c>
      <c r="G55" s="88">
        <f t="shared" si="4"/>
        <v>10.112047714285715</v>
      </c>
      <c r="H55" s="88">
        <f t="shared" si="5"/>
        <v>13.482730285714286</v>
      </c>
      <c r="I55" s="87">
        <v>16.853412857142857</v>
      </c>
      <c r="J55" s="88">
        <f t="shared" si="6"/>
        <v>18.877916857142857</v>
      </c>
      <c r="K55" s="88">
        <f t="shared" si="7"/>
        <v>20.902420857142857</v>
      </c>
      <c r="L55" s="88">
        <f t="shared" si="8"/>
        <v>22.926924857142858</v>
      </c>
      <c r="M55" s="88">
        <f t="shared" si="9"/>
        <v>24.951428857142858</v>
      </c>
      <c r="N55" s="87">
        <v>26.975932857142858</v>
      </c>
      <c r="O55" s="88">
        <f t="shared" si="10"/>
        <v>27.588890190476192</v>
      </c>
      <c r="P55" s="88">
        <f t="shared" si="11"/>
        <v>28.201847523809526</v>
      </c>
      <c r="Q55" s="88">
        <f t="shared" si="12"/>
        <v>28.81480485714286</v>
      </c>
      <c r="R55" s="88">
        <f t="shared" si="13"/>
        <v>29.427762190476194</v>
      </c>
      <c r="S55" s="87">
        <v>30.040719523809528</v>
      </c>
      <c r="T55" s="88">
        <f t="shared" si="14"/>
        <v>30.5883720952381</v>
      </c>
      <c r="U55" s="88">
        <f t="shared" si="15"/>
        <v>31.136024666666671</v>
      </c>
      <c r="V55" s="88">
        <f t="shared" si="16"/>
        <v>31.683677238095243</v>
      </c>
      <c r="W55" s="88">
        <f t="shared" si="17"/>
        <v>32.231329809523814</v>
      </c>
      <c r="X55" s="87">
        <v>32.778982380952385</v>
      </c>
      <c r="Y55" s="88">
        <f t="shared" si="18"/>
        <v>33.849122571428573</v>
      </c>
      <c r="Z55" s="88">
        <f t="shared" si="19"/>
        <v>34.919262761904761</v>
      </c>
      <c r="AA55" s="88">
        <f t="shared" si="20"/>
        <v>35.989402952380956</v>
      </c>
      <c r="AB55" s="88">
        <f t="shared" si="21"/>
        <v>37.059543142857144</v>
      </c>
      <c r="AC55" s="87">
        <v>38.129683333333332</v>
      </c>
      <c r="AD55" s="88">
        <f t="shared" si="22"/>
        <v>39.787787333333334</v>
      </c>
      <c r="AE55" s="88">
        <f t="shared" si="23"/>
        <v>41.445891333333336</v>
      </c>
      <c r="AF55" s="88">
        <f t="shared" si="24"/>
        <v>43.10399533333333</v>
      </c>
      <c r="AG55" s="88">
        <f t="shared" si="25"/>
        <v>44.762099333333332</v>
      </c>
      <c r="AH55" s="87">
        <v>46.420203333333333</v>
      </c>
      <c r="AI55" s="88">
        <f t="shared" si="26"/>
        <v>48.078307333333335</v>
      </c>
      <c r="AJ55" s="88">
        <f t="shared" si="27"/>
        <v>49.736411333333336</v>
      </c>
      <c r="AK55" s="88">
        <f t="shared" si="28"/>
        <v>51.394515333333331</v>
      </c>
      <c r="AL55" s="88">
        <f t="shared" si="29"/>
        <v>53.052619333333332</v>
      </c>
      <c r="AM55" s="87">
        <v>54.710723333333334</v>
      </c>
      <c r="AN55" s="88">
        <f t="shared" si="30"/>
        <v>56.368827333333336</v>
      </c>
      <c r="AO55" s="88">
        <f t="shared" si="31"/>
        <v>58.026931333333337</v>
      </c>
      <c r="AP55" s="88">
        <f t="shared" si="32"/>
        <v>59.685035333333339</v>
      </c>
      <c r="AQ55" s="88">
        <f t="shared" si="33"/>
        <v>61.34313933333334</v>
      </c>
      <c r="AR55" s="87">
        <v>63.001243333333342</v>
      </c>
      <c r="AS55" s="88">
        <f t="shared" si="34"/>
        <v>64.659347333333343</v>
      </c>
      <c r="AT55" s="88">
        <f t="shared" si="35"/>
        <v>66.317451333333338</v>
      </c>
      <c r="AU55" s="88">
        <f t="shared" si="36"/>
        <v>67.975555333333347</v>
      </c>
      <c r="AV55" s="88">
        <f t="shared" si="37"/>
        <v>69.633659333333341</v>
      </c>
      <c r="AW55" s="88">
        <f t="shared" si="38"/>
        <v>71.29176333333335</v>
      </c>
      <c r="AX55" s="88">
        <f t="shared" si="39"/>
        <v>72.949867333333344</v>
      </c>
      <c r="AY55" s="88">
        <f t="shared" si="40"/>
        <v>74.607971333333353</v>
      </c>
      <c r="AZ55" s="88">
        <f t="shared" si="41"/>
        <v>76.266075333333347</v>
      </c>
      <c r="BA55" s="88">
        <f t="shared" si="42"/>
        <v>77.924179333333356</v>
      </c>
      <c r="BB55" s="87">
        <v>79.582283333333351</v>
      </c>
      <c r="BC55" s="88">
        <f t="shared" si="43"/>
        <v>81.240387333333345</v>
      </c>
      <c r="BD55" s="88">
        <f t="shared" si="44"/>
        <v>82.898491333333354</v>
      </c>
      <c r="BE55" s="88">
        <f t="shared" si="45"/>
        <v>84.556595333333348</v>
      </c>
      <c r="BF55" s="88">
        <f t="shared" si="46"/>
        <v>86.214699333333343</v>
      </c>
      <c r="BG55" s="88">
        <f t="shared" si="47"/>
        <v>87.872803333333337</v>
      </c>
      <c r="BH55" s="88">
        <f t="shared" si="48"/>
        <v>89.530907333333346</v>
      </c>
      <c r="BI55" s="88">
        <f t="shared" si="49"/>
        <v>91.18901133333334</v>
      </c>
      <c r="BJ55" s="88">
        <f t="shared" si="50"/>
        <v>92.847115333333335</v>
      </c>
      <c r="BK55" s="88">
        <f t="shared" si="51"/>
        <v>94.505219333333343</v>
      </c>
      <c r="BL55" s="87">
        <v>96.163323333333338</v>
      </c>
      <c r="BM55" s="88">
        <f t="shared" si="52"/>
        <v>97.821427333333332</v>
      </c>
      <c r="BN55" s="88">
        <f t="shared" si="53"/>
        <v>99.479531333333341</v>
      </c>
      <c r="BO55" s="88">
        <f t="shared" si="54"/>
        <v>101.13763533333334</v>
      </c>
      <c r="BP55" s="88">
        <f t="shared" si="55"/>
        <v>102.79573933333334</v>
      </c>
      <c r="BQ55" s="88">
        <f t="shared" si="56"/>
        <v>104.45384333333334</v>
      </c>
      <c r="BR55" s="88">
        <f t="shared" si="57"/>
        <v>106.11194733333335</v>
      </c>
      <c r="BS55" s="88">
        <f t="shared" si="58"/>
        <v>107.77005133333334</v>
      </c>
      <c r="BT55" s="88">
        <f t="shared" si="59"/>
        <v>109.42815533333334</v>
      </c>
      <c r="BU55" s="88">
        <f t="shared" si="60"/>
        <v>111.08625933333335</v>
      </c>
      <c r="BV55" s="87">
        <v>112.74436333333334</v>
      </c>
      <c r="BW55" s="88">
        <f t="shared" si="61"/>
        <v>114.40246733333335</v>
      </c>
      <c r="BX55" s="88">
        <f t="shared" si="62"/>
        <v>116.06057133333334</v>
      </c>
      <c r="BY55" s="88">
        <f t="shared" si="63"/>
        <v>117.71867533333335</v>
      </c>
      <c r="BZ55" s="88">
        <f t="shared" si="64"/>
        <v>119.37677933333335</v>
      </c>
      <c r="CA55" s="87">
        <v>121.03488333333335</v>
      </c>
      <c r="CB55" s="88">
        <f t="shared" si="65"/>
        <v>122.69298733333335</v>
      </c>
      <c r="CC55" s="88">
        <f t="shared" si="66"/>
        <v>124.35109133333336</v>
      </c>
      <c r="CD55" s="88">
        <f t="shared" si="67"/>
        <v>126.00919533333335</v>
      </c>
      <c r="CE55" s="88">
        <f t="shared" si="68"/>
        <v>127.66729933333336</v>
      </c>
      <c r="CF55" s="87">
        <v>129.32540333333336</v>
      </c>
      <c r="CG55" s="88">
        <f t="shared" si="69"/>
        <v>130.98350733333336</v>
      </c>
      <c r="CH55" s="88">
        <f t="shared" si="70"/>
        <v>132.64161133333334</v>
      </c>
      <c r="CI55" s="88">
        <f t="shared" si="71"/>
        <v>134.29971533333335</v>
      </c>
      <c r="CJ55" s="88">
        <f t="shared" si="72"/>
        <v>135.95781933333333</v>
      </c>
      <c r="CK55" s="87">
        <v>137.61592333333334</v>
      </c>
      <c r="CL55" s="88">
        <f t="shared" si="73"/>
        <v>139.27402733333335</v>
      </c>
      <c r="CM55" s="88">
        <f t="shared" si="74"/>
        <v>140.93213133333333</v>
      </c>
      <c r="CN55" s="88">
        <f t="shared" si="75"/>
        <v>142.59023533333334</v>
      </c>
      <c r="CO55" s="88">
        <f t="shared" si="76"/>
        <v>144.24833933333335</v>
      </c>
      <c r="CP55" s="88">
        <f t="shared" si="77"/>
        <v>145.90644333333336</v>
      </c>
      <c r="CQ55" s="88">
        <f t="shared" si="78"/>
        <v>147.56454733333334</v>
      </c>
      <c r="CR55" s="88">
        <f t="shared" si="79"/>
        <v>149.22265133333335</v>
      </c>
      <c r="CS55" s="88">
        <f t="shared" si="80"/>
        <v>150.88075533333335</v>
      </c>
      <c r="CT55" s="88">
        <f t="shared" si="81"/>
        <v>152.53885933333333</v>
      </c>
      <c r="CU55" s="88">
        <f t="shared" si="82"/>
        <v>154.19696333333334</v>
      </c>
      <c r="CV55" s="88">
        <f t="shared" si="83"/>
        <v>155.85506733333335</v>
      </c>
      <c r="CW55" s="88">
        <f t="shared" si="84"/>
        <v>157.51317133333333</v>
      </c>
      <c r="CX55" s="88">
        <f t="shared" si="85"/>
        <v>159.17127533333334</v>
      </c>
      <c r="CY55" s="89">
        <v>160.82937933333335</v>
      </c>
      <c r="CZ55" s="1"/>
    </row>
    <row r="56" spans="2:104" hidden="1" x14ac:dyDescent="0.25">
      <c r="B56" s="58"/>
      <c r="C56" s="77">
        <f t="shared" si="86"/>
        <v>5000</v>
      </c>
      <c r="D56" s="87">
        <v>0</v>
      </c>
      <c r="E56" s="88">
        <f t="shared" si="2"/>
        <v>3.4719576190476191</v>
      </c>
      <c r="F56" s="88">
        <f t="shared" si="3"/>
        <v>6.9439152380952383</v>
      </c>
      <c r="G56" s="88">
        <f t="shared" si="4"/>
        <v>10.415872857142858</v>
      </c>
      <c r="H56" s="88">
        <f t="shared" si="5"/>
        <v>13.887830476190477</v>
      </c>
      <c r="I56" s="87">
        <v>17.359788095238095</v>
      </c>
      <c r="J56" s="88">
        <f t="shared" si="6"/>
        <v>19.318948095238095</v>
      </c>
      <c r="K56" s="88">
        <f t="shared" si="7"/>
        <v>21.278108095238096</v>
      </c>
      <c r="L56" s="88">
        <f t="shared" si="8"/>
        <v>23.237268095238093</v>
      </c>
      <c r="M56" s="88">
        <f t="shared" si="9"/>
        <v>25.196428095238094</v>
      </c>
      <c r="N56" s="87">
        <v>27.155588095238095</v>
      </c>
      <c r="O56" s="88">
        <f t="shared" si="10"/>
        <v>27.75920142857143</v>
      </c>
      <c r="P56" s="88">
        <f t="shared" si="11"/>
        <v>28.362814761904762</v>
      </c>
      <c r="Q56" s="88">
        <f t="shared" si="12"/>
        <v>28.966428095238097</v>
      </c>
      <c r="R56" s="88">
        <f t="shared" si="13"/>
        <v>29.570041428571429</v>
      </c>
      <c r="S56" s="87">
        <v>30.173654761904764</v>
      </c>
      <c r="T56" s="88">
        <f t="shared" si="14"/>
        <v>30.613106190476191</v>
      </c>
      <c r="U56" s="88">
        <f t="shared" si="15"/>
        <v>31.052557619047619</v>
      </c>
      <c r="V56" s="88">
        <f t="shared" si="16"/>
        <v>31.49200904761905</v>
      </c>
      <c r="W56" s="88">
        <f t="shared" si="17"/>
        <v>31.931460476190477</v>
      </c>
      <c r="X56" s="87">
        <v>32.370911904761904</v>
      </c>
      <c r="Y56" s="88">
        <f t="shared" si="18"/>
        <v>33.361422380952384</v>
      </c>
      <c r="Z56" s="88">
        <f t="shared" si="19"/>
        <v>34.351932857142856</v>
      </c>
      <c r="AA56" s="88">
        <f t="shared" si="20"/>
        <v>35.342443333333335</v>
      </c>
      <c r="AB56" s="88">
        <f t="shared" si="21"/>
        <v>36.332953809523808</v>
      </c>
      <c r="AC56" s="87">
        <v>37.323464285714287</v>
      </c>
      <c r="AD56" s="88">
        <f t="shared" si="22"/>
        <v>38.916224285714286</v>
      </c>
      <c r="AE56" s="88">
        <f t="shared" si="23"/>
        <v>40.508984285714284</v>
      </c>
      <c r="AF56" s="88">
        <f t="shared" si="24"/>
        <v>42.10174428571429</v>
      </c>
      <c r="AG56" s="88">
        <f t="shared" si="25"/>
        <v>43.694504285714288</v>
      </c>
      <c r="AH56" s="87">
        <v>45.287264285714286</v>
      </c>
      <c r="AI56" s="88">
        <f t="shared" si="26"/>
        <v>46.880024285714285</v>
      </c>
      <c r="AJ56" s="88">
        <f t="shared" si="27"/>
        <v>48.472784285714283</v>
      </c>
      <c r="AK56" s="88">
        <f t="shared" si="28"/>
        <v>50.065544285714282</v>
      </c>
      <c r="AL56" s="88">
        <f t="shared" si="29"/>
        <v>51.658304285714287</v>
      </c>
      <c r="AM56" s="87">
        <v>53.251064285714286</v>
      </c>
      <c r="AN56" s="88">
        <f t="shared" si="30"/>
        <v>54.843824285714284</v>
      </c>
      <c r="AO56" s="88">
        <f t="shared" si="31"/>
        <v>56.436584285714289</v>
      </c>
      <c r="AP56" s="88">
        <f t="shared" si="32"/>
        <v>58.029344285714288</v>
      </c>
      <c r="AQ56" s="88">
        <f t="shared" si="33"/>
        <v>59.622104285714293</v>
      </c>
      <c r="AR56" s="87">
        <v>61.214864285714292</v>
      </c>
      <c r="AS56" s="88">
        <f t="shared" si="34"/>
        <v>62.80762428571429</v>
      </c>
      <c r="AT56" s="88">
        <f t="shared" si="35"/>
        <v>64.400384285714296</v>
      </c>
      <c r="AU56" s="88">
        <f t="shared" si="36"/>
        <v>65.993144285714294</v>
      </c>
      <c r="AV56" s="88">
        <f t="shared" si="37"/>
        <v>67.585904285714292</v>
      </c>
      <c r="AW56" s="88">
        <f t="shared" si="38"/>
        <v>69.178664285714291</v>
      </c>
      <c r="AX56" s="88">
        <f t="shared" si="39"/>
        <v>70.771424285714289</v>
      </c>
      <c r="AY56" s="88">
        <f t="shared" si="40"/>
        <v>72.364184285714302</v>
      </c>
      <c r="AZ56" s="88">
        <f t="shared" si="41"/>
        <v>73.9569442857143</v>
      </c>
      <c r="BA56" s="88">
        <f t="shared" si="42"/>
        <v>75.549704285714299</v>
      </c>
      <c r="BB56" s="87">
        <v>77.142464285714297</v>
      </c>
      <c r="BC56" s="88">
        <f t="shared" si="43"/>
        <v>78.735224285714295</v>
      </c>
      <c r="BD56" s="88">
        <f t="shared" si="44"/>
        <v>80.327984285714294</v>
      </c>
      <c r="BE56" s="88">
        <f t="shared" si="45"/>
        <v>81.920744285714292</v>
      </c>
      <c r="BF56" s="88">
        <f t="shared" si="46"/>
        <v>83.513504285714291</v>
      </c>
      <c r="BG56" s="88">
        <f t="shared" si="47"/>
        <v>85.106264285714303</v>
      </c>
      <c r="BH56" s="88">
        <f t="shared" si="48"/>
        <v>86.699024285714302</v>
      </c>
      <c r="BI56" s="88">
        <f t="shared" si="49"/>
        <v>88.2917842857143</v>
      </c>
      <c r="BJ56" s="88">
        <f t="shared" si="50"/>
        <v>89.884544285714298</v>
      </c>
      <c r="BK56" s="88">
        <f t="shared" si="51"/>
        <v>91.477304285714297</v>
      </c>
      <c r="BL56" s="87">
        <v>93.070064285714295</v>
      </c>
      <c r="BM56" s="88">
        <f t="shared" si="52"/>
        <v>94.662824285714294</v>
      </c>
      <c r="BN56" s="88">
        <f t="shared" si="53"/>
        <v>96.255584285714292</v>
      </c>
      <c r="BO56" s="88">
        <f t="shared" si="54"/>
        <v>97.84834428571429</v>
      </c>
      <c r="BP56" s="88">
        <f t="shared" si="55"/>
        <v>99.441104285714289</v>
      </c>
      <c r="BQ56" s="88">
        <f t="shared" si="56"/>
        <v>101.03386428571429</v>
      </c>
      <c r="BR56" s="88">
        <f t="shared" si="57"/>
        <v>102.62662428571429</v>
      </c>
      <c r="BS56" s="88">
        <f t="shared" si="58"/>
        <v>104.2193842857143</v>
      </c>
      <c r="BT56" s="88">
        <f t="shared" si="59"/>
        <v>105.8121442857143</v>
      </c>
      <c r="BU56" s="88">
        <f t="shared" si="60"/>
        <v>107.4049042857143</v>
      </c>
      <c r="BV56" s="87">
        <v>108.99766428571429</v>
      </c>
      <c r="BW56" s="88">
        <f t="shared" si="61"/>
        <v>110.59042428571429</v>
      </c>
      <c r="BX56" s="88">
        <f t="shared" si="62"/>
        <v>112.18318428571429</v>
      </c>
      <c r="BY56" s="88">
        <f t="shared" si="63"/>
        <v>113.7759442857143</v>
      </c>
      <c r="BZ56" s="88">
        <f t="shared" si="64"/>
        <v>115.3687042857143</v>
      </c>
      <c r="CA56" s="87">
        <v>116.9614642857143</v>
      </c>
      <c r="CB56" s="88">
        <f t="shared" si="65"/>
        <v>118.5542242857143</v>
      </c>
      <c r="CC56" s="88">
        <f t="shared" si="66"/>
        <v>120.14698428571431</v>
      </c>
      <c r="CD56" s="88">
        <f t="shared" si="67"/>
        <v>121.73974428571431</v>
      </c>
      <c r="CE56" s="88">
        <f t="shared" si="68"/>
        <v>123.33250428571432</v>
      </c>
      <c r="CF56" s="87">
        <v>124.92526428571432</v>
      </c>
      <c r="CG56" s="88">
        <f t="shared" si="69"/>
        <v>126.51802428571432</v>
      </c>
      <c r="CH56" s="88">
        <f t="shared" si="70"/>
        <v>128.11078428571432</v>
      </c>
      <c r="CI56" s="88">
        <f t="shared" si="71"/>
        <v>129.70354428571429</v>
      </c>
      <c r="CJ56" s="88">
        <f t="shared" si="72"/>
        <v>131.29630428571429</v>
      </c>
      <c r="CK56" s="87">
        <v>132.88906428571428</v>
      </c>
      <c r="CL56" s="88">
        <f t="shared" si="73"/>
        <v>134.48182428571428</v>
      </c>
      <c r="CM56" s="88">
        <f t="shared" si="74"/>
        <v>136.07458428571428</v>
      </c>
      <c r="CN56" s="88">
        <f t="shared" si="75"/>
        <v>137.66734428571428</v>
      </c>
      <c r="CO56" s="88">
        <f t="shared" si="76"/>
        <v>139.26010428571431</v>
      </c>
      <c r="CP56" s="88">
        <f t="shared" si="77"/>
        <v>140.8528642857143</v>
      </c>
      <c r="CQ56" s="88">
        <f t="shared" si="78"/>
        <v>142.4456242857143</v>
      </c>
      <c r="CR56" s="88">
        <f t="shared" si="79"/>
        <v>144.0383842857143</v>
      </c>
      <c r="CS56" s="88">
        <f t="shared" si="80"/>
        <v>145.6311442857143</v>
      </c>
      <c r="CT56" s="88">
        <f t="shared" si="81"/>
        <v>147.2239042857143</v>
      </c>
      <c r="CU56" s="88">
        <f t="shared" si="82"/>
        <v>148.8166642857143</v>
      </c>
      <c r="CV56" s="88">
        <f t="shared" si="83"/>
        <v>150.40942428571429</v>
      </c>
      <c r="CW56" s="88">
        <f t="shared" si="84"/>
        <v>152.00218428571432</v>
      </c>
      <c r="CX56" s="88">
        <f t="shared" si="85"/>
        <v>153.59494428571432</v>
      </c>
      <c r="CY56" s="89">
        <v>155.18770428571432</v>
      </c>
      <c r="CZ56" s="1"/>
    </row>
    <row r="57" spans="2:104" hidden="1" x14ac:dyDescent="0.25">
      <c r="B57" s="58"/>
      <c r="C57" s="77">
        <f t="shared" si="86"/>
        <v>5720</v>
      </c>
      <c r="D57" s="87">
        <v>0</v>
      </c>
      <c r="E57" s="88">
        <f t="shared" si="2"/>
        <v>3.6158014285714279</v>
      </c>
      <c r="F57" s="88">
        <f t="shared" si="3"/>
        <v>7.2316028571428559</v>
      </c>
      <c r="G57" s="88">
        <f t="shared" si="4"/>
        <v>10.847404285714283</v>
      </c>
      <c r="H57" s="88">
        <f t="shared" si="5"/>
        <v>14.463205714285712</v>
      </c>
      <c r="I57" s="87">
        <v>18.07900714285714</v>
      </c>
      <c r="J57" s="88">
        <f t="shared" si="6"/>
        <v>19.956487142857139</v>
      </c>
      <c r="K57" s="88">
        <f t="shared" si="7"/>
        <v>21.833967142857141</v>
      </c>
      <c r="L57" s="88">
        <f t="shared" si="8"/>
        <v>23.711447142857139</v>
      </c>
      <c r="M57" s="88">
        <f t="shared" si="9"/>
        <v>25.588927142857138</v>
      </c>
      <c r="N57" s="87">
        <v>27.46640714285714</v>
      </c>
      <c r="O57" s="88">
        <f t="shared" si="10"/>
        <v>28.072340476190476</v>
      </c>
      <c r="P57" s="88">
        <f t="shared" si="11"/>
        <v>28.678273809523809</v>
      </c>
      <c r="Q57" s="88">
        <f t="shared" si="12"/>
        <v>29.284207142857145</v>
      </c>
      <c r="R57" s="88">
        <f t="shared" si="13"/>
        <v>29.890140476190478</v>
      </c>
      <c r="S57" s="87">
        <v>30.496073809523814</v>
      </c>
      <c r="T57" s="88">
        <f t="shared" si="14"/>
        <v>30.78955952380953</v>
      </c>
      <c r="U57" s="88">
        <f t="shared" si="15"/>
        <v>31.083045238095242</v>
      </c>
      <c r="V57" s="88">
        <f t="shared" si="16"/>
        <v>31.376530952380957</v>
      </c>
      <c r="W57" s="88">
        <f t="shared" si="17"/>
        <v>31.670016666666669</v>
      </c>
      <c r="X57" s="87">
        <v>31.963502380952384</v>
      </c>
      <c r="Y57" s="88">
        <f t="shared" si="18"/>
        <v>32.850904285714286</v>
      </c>
      <c r="Z57" s="88">
        <f t="shared" si="19"/>
        <v>33.738306190476195</v>
      </c>
      <c r="AA57" s="88">
        <f t="shared" si="20"/>
        <v>34.625708095238096</v>
      </c>
      <c r="AB57" s="88">
        <f t="shared" si="21"/>
        <v>35.513110000000005</v>
      </c>
      <c r="AC57" s="87">
        <v>36.400511904761906</v>
      </c>
      <c r="AD57" s="88">
        <f t="shared" si="22"/>
        <v>37.911591904761906</v>
      </c>
      <c r="AE57" s="88">
        <f t="shared" si="23"/>
        <v>39.422671904761906</v>
      </c>
      <c r="AF57" s="88">
        <f t="shared" si="24"/>
        <v>40.933751904761905</v>
      </c>
      <c r="AG57" s="88">
        <f t="shared" si="25"/>
        <v>42.444831904761905</v>
      </c>
      <c r="AH57" s="87">
        <v>43.955911904761905</v>
      </c>
      <c r="AI57" s="88">
        <f t="shared" si="26"/>
        <v>45.466991904761905</v>
      </c>
      <c r="AJ57" s="88">
        <f t="shared" si="27"/>
        <v>46.978071904761904</v>
      </c>
      <c r="AK57" s="88">
        <f t="shared" si="28"/>
        <v>48.489151904761904</v>
      </c>
      <c r="AL57" s="88">
        <f t="shared" si="29"/>
        <v>50.000231904761904</v>
      </c>
      <c r="AM57" s="87">
        <v>51.511311904761904</v>
      </c>
      <c r="AN57" s="88">
        <f t="shared" si="30"/>
        <v>53.022391904761903</v>
      </c>
      <c r="AO57" s="88">
        <f t="shared" si="31"/>
        <v>54.533471904761903</v>
      </c>
      <c r="AP57" s="88">
        <f t="shared" si="32"/>
        <v>56.044551904761903</v>
      </c>
      <c r="AQ57" s="88">
        <f t="shared" si="33"/>
        <v>57.55563190476191</v>
      </c>
      <c r="AR57" s="87">
        <v>59.06671190476191</v>
      </c>
      <c r="AS57" s="88">
        <f t="shared" si="34"/>
        <v>60.577791904761909</v>
      </c>
      <c r="AT57" s="88">
        <f t="shared" si="35"/>
        <v>62.088871904761909</v>
      </c>
      <c r="AU57" s="88">
        <f t="shared" si="36"/>
        <v>63.599951904761909</v>
      </c>
      <c r="AV57" s="88">
        <f t="shared" si="37"/>
        <v>65.111031904761916</v>
      </c>
      <c r="AW57" s="88">
        <f t="shared" si="38"/>
        <v>66.622111904761908</v>
      </c>
      <c r="AX57" s="88">
        <f t="shared" si="39"/>
        <v>68.133191904761915</v>
      </c>
      <c r="AY57" s="88">
        <f t="shared" si="40"/>
        <v>69.644271904761908</v>
      </c>
      <c r="AZ57" s="88">
        <f t="shared" si="41"/>
        <v>71.155351904761915</v>
      </c>
      <c r="BA57" s="88">
        <f t="shared" si="42"/>
        <v>72.666431904761907</v>
      </c>
      <c r="BB57" s="87">
        <v>74.177511904761914</v>
      </c>
      <c r="BC57" s="88">
        <f t="shared" si="43"/>
        <v>75.688591904761921</v>
      </c>
      <c r="BD57" s="88">
        <f t="shared" si="44"/>
        <v>77.199671904761914</v>
      </c>
      <c r="BE57" s="88">
        <f t="shared" si="45"/>
        <v>78.710751904761906</v>
      </c>
      <c r="BF57" s="88">
        <f t="shared" si="46"/>
        <v>80.221831904761913</v>
      </c>
      <c r="BG57" s="88">
        <f t="shared" si="47"/>
        <v>81.73291190476192</v>
      </c>
      <c r="BH57" s="88">
        <f t="shared" si="48"/>
        <v>83.243991904761913</v>
      </c>
      <c r="BI57" s="88">
        <f t="shared" si="49"/>
        <v>84.755071904761905</v>
      </c>
      <c r="BJ57" s="88">
        <f t="shared" si="50"/>
        <v>86.266151904761912</v>
      </c>
      <c r="BK57" s="88">
        <f t="shared" si="51"/>
        <v>87.777231904761919</v>
      </c>
      <c r="BL57" s="87">
        <v>89.288311904761912</v>
      </c>
      <c r="BM57" s="88">
        <f t="shared" si="52"/>
        <v>90.799391904761904</v>
      </c>
      <c r="BN57" s="88">
        <f t="shared" si="53"/>
        <v>92.310471904761911</v>
      </c>
      <c r="BO57" s="88">
        <f t="shared" si="54"/>
        <v>93.821551904761918</v>
      </c>
      <c r="BP57" s="88">
        <f t="shared" si="55"/>
        <v>95.332631904761911</v>
      </c>
      <c r="BQ57" s="88">
        <f t="shared" si="56"/>
        <v>96.843711904761903</v>
      </c>
      <c r="BR57" s="88">
        <f t="shared" si="57"/>
        <v>98.35479190476191</v>
      </c>
      <c r="BS57" s="88">
        <f t="shared" si="58"/>
        <v>99.865871904761917</v>
      </c>
      <c r="BT57" s="88">
        <f t="shared" si="59"/>
        <v>101.37695190476191</v>
      </c>
      <c r="BU57" s="88">
        <f t="shared" si="60"/>
        <v>102.8880319047619</v>
      </c>
      <c r="BV57" s="87">
        <v>104.39911190476191</v>
      </c>
      <c r="BW57" s="88">
        <f t="shared" si="61"/>
        <v>105.91019190476192</v>
      </c>
      <c r="BX57" s="88">
        <f t="shared" si="62"/>
        <v>107.42127190476191</v>
      </c>
      <c r="BY57" s="88">
        <f t="shared" si="63"/>
        <v>108.93235190476192</v>
      </c>
      <c r="BZ57" s="88">
        <f t="shared" si="64"/>
        <v>110.44343190476191</v>
      </c>
      <c r="CA57" s="87">
        <v>111.95451190476192</v>
      </c>
      <c r="CB57" s="88">
        <f t="shared" si="65"/>
        <v>113.46559190476192</v>
      </c>
      <c r="CC57" s="88">
        <f t="shared" si="66"/>
        <v>114.97667190476191</v>
      </c>
      <c r="CD57" s="88">
        <f t="shared" si="67"/>
        <v>116.48775190476192</v>
      </c>
      <c r="CE57" s="88">
        <f t="shared" si="68"/>
        <v>117.99883190476191</v>
      </c>
      <c r="CF57" s="87">
        <v>119.50991190476192</v>
      </c>
      <c r="CG57" s="88">
        <f t="shared" si="69"/>
        <v>121.02099190476191</v>
      </c>
      <c r="CH57" s="88">
        <f t="shared" si="70"/>
        <v>122.53207190476191</v>
      </c>
      <c r="CI57" s="88">
        <f t="shared" si="71"/>
        <v>124.04315190476191</v>
      </c>
      <c r="CJ57" s="88">
        <f t="shared" si="72"/>
        <v>125.55423190476191</v>
      </c>
      <c r="CK57" s="87">
        <v>127.0653119047619</v>
      </c>
      <c r="CL57" s="88">
        <f t="shared" si="73"/>
        <v>128.57639190476189</v>
      </c>
      <c r="CM57" s="88">
        <f t="shared" si="74"/>
        <v>130.08747190476191</v>
      </c>
      <c r="CN57" s="88">
        <f t="shared" si="75"/>
        <v>131.59855190476191</v>
      </c>
      <c r="CO57" s="88">
        <f t="shared" si="76"/>
        <v>133.1096319047619</v>
      </c>
      <c r="CP57" s="88">
        <f t="shared" si="77"/>
        <v>134.62071190476189</v>
      </c>
      <c r="CQ57" s="88">
        <f t="shared" si="78"/>
        <v>136.13179190476191</v>
      </c>
      <c r="CR57" s="88">
        <f t="shared" si="79"/>
        <v>137.6428719047619</v>
      </c>
      <c r="CS57" s="88">
        <f t="shared" si="80"/>
        <v>139.1539519047619</v>
      </c>
      <c r="CT57" s="88">
        <f t="shared" si="81"/>
        <v>140.66503190476192</v>
      </c>
      <c r="CU57" s="88">
        <f t="shared" si="82"/>
        <v>142.17611190476191</v>
      </c>
      <c r="CV57" s="88">
        <f t="shared" si="83"/>
        <v>143.6871919047619</v>
      </c>
      <c r="CW57" s="88">
        <f t="shared" si="84"/>
        <v>145.1982719047619</v>
      </c>
      <c r="CX57" s="88">
        <f t="shared" si="85"/>
        <v>146.70935190476192</v>
      </c>
      <c r="CY57" s="89">
        <v>148.22043190476191</v>
      </c>
      <c r="CZ57" s="1"/>
    </row>
    <row r="58" spans="2:104" hidden="1" x14ac:dyDescent="0.25">
      <c r="B58" s="58"/>
      <c r="C58" s="77">
        <f t="shared" si="86"/>
        <v>6000</v>
      </c>
      <c r="D58" s="87">
        <v>0</v>
      </c>
      <c r="E58" s="88">
        <f t="shared" si="2"/>
        <v>3.6722617142857148</v>
      </c>
      <c r="F58" s="88">
        <f t="shared" si="3"/>
        <v>7.3445234285714296</v>
      </c>
      <c r="G58" s="88">
        <f t="shared" si="4"/>
        <v>11.016785142857145</v>
      </c>
      <c r="H58" s="88">
        <f t="shared" si="5"/>
        <v>14.689046857142859</v>
      </c>
      <c r="I58" s="87">
        <v>18.361308571428573</v>
      </c>
      <c r="J58" s="88">
        <f t="shared" si="6"/>
        <v>20.214284571428571</v>
      </c>
      <c r="K58" s="88">
        <f t="shared" si="7"/>
        <v>22.067260571428573</v>
      </c>
      <c r="L58" s="88">
        <f t="shared" si="8"/>
        <v>23.920236571428571</v>
      </c>
      <c r="M58" s="88">
        <f t="shared" si="9"/>
        <v>25.773212571428573</v>
      </c>
      <c r="N58" s="87">
        <v>27.626188571428571</v>
      </c>
      <c r="O58" s="88">
        <f t="shared" si="10"/>
        <v>28.240284571428571</v>
      </c>
      <c r="P58" s="88">
        <f t="shared" si="11"/>
        <v>28.854380571428571</v>
      </c>
      <c r="Q58" s="88">
        <f t="shared" si="12"/>
        <v>29.468476571428571</v>
      </c>
      <c r="R58" s="88">
        <f t="shared" si="13"/>
        <v>30.082572571428571</v>
      </c>
      <c r="S58" s="87">
        <v>30.696668571428571</v>
      </c>
      <c r="T58" s="88">
        <f t="shared" si="14"/>
        <v>30.940650285714288</v>
      </c>
      <c r="U58" s="88">
        <f t="shared" si="15"/>
        <v>31.184632000000001</v>
      </c>
      <c r="V58" s="88">
        <f t="shared" si="16"/>
        <v>31.428613714285717</v>
      </c>
      <c r="W58" s="88">
        <f t="shared" si="17"/>
        <v>31.67259542857143</v>
      </c>
      <c r="X58" s="87">
        <v>31.916577142857147</v>
      </c>
      <c r="Y58" s="88">
        <f t="shared" si="18"/>
        <v>32.771141714285719</v>
      </c>
      <c r="Z58" s="88">
        <f t="shared" si="19"/>
        <v>33.625706285714287</v>
      </c>
      <c r="AA58" s="88">
        <f t="shared" si="20"/>
        <v>34.480270857142862</v>
      </c>
      <c r="AB58" s="88">
        <f t="shared" si="21"/>
        <v>35.334835428571438</v>
      </c>
      <c r="AC58" s="87">
        <v>36.189400000000006</v>
      </c>
      <c r="AD58" s="88">
        <f t="shared" si="22"/>
        <v>37.675976000000006</v>
      </c>
      <c r="AE58" s="88">
        <f t="shared" si="23"/>
        <v>39.162552000000005</v>
      </c>
      <c r="AF58" s="88">
        <f t="shared" si="24"/>
        <v>40.649128000000005</v>
      </c>
      <c r="AG58" s="88">
        <f t="shared" si="25"/>
        <v>42.135704000000004</v>
      </c>
      <c r="AH58" s="87">
        <v>43.622280000000003</v>
      </c>
      <c r="AI58" s="88">
        <f t="shared" si="26"/>
        <v>45.108856000000003</v>
      </c>
      <c r="AJ58" s="88">
        <f t="shared" si="27"/>
        <v>46.595432000000002</v>
      </c>
      <c r="AK58" s="88">
        <f t="shared" si="28"/>
        <v>48.082008000000002</v>
      </c>
      <c r="AL58" s="88">
        <f t="shared" si="29"/>
        <v>49.568584000000001</v>
      </c>
      <c r="AM58" s="87">
        <v>51.055160000000001</v>
      </c>
      <c r="AN58" s="88">
        <f t="shared" si="30"/>
        <v>52.541736</v>
      </c>
      <c r="AO58" s="88">
        <f t="shared" si="31"/>
        <v>54.028312000000007</v>
      </c>
      <c r="AP58" s="88">
        <f t="shared" si="32"/>
        <v>55.514888000000006</v>
      </c>
      <c r="AQ58" s="88">
        <f t="shared" si="33"/>
        <v>57.001464000000013</v>
      </c>
      <c r="AR58" s="87">
        <v>58.488040000000012</v>
      </c>
      <c r="AS58" s="88">
        <f t="shared" si="34"/>
        <v>59.974616000000012</v>
      </c>
      <c r="AT58" s="88">
        <f t="shared" si="35"/>
        <v>61.461192000000011</v>
      </c>
      <c r="AU58" s="88">
        <f t="shared" si="36"/>
        <v>62.947768000000011</v>
      </c>
      <c r="AV58" s="88">
        <f t="shared" si="37"/>
        <v>64.43434400000001</v>
      </c>
      <c r="AW58" s="88">
        <f t="shared" si="38"/>
        <v>65.92092000000001</v>
      </c>
      <c r="AX58" s="88">
        <f t="shared" si="39"/>
        <v>67.407496000000009</v>
      </c>
      <c r="AY58" s="88">
        <f t="shared" si="40"/>
        <v>68.894072000000008</v>
      </c>
      <c r="AZ58" s="88">
        <f t="shared" si="41"/>
        <v>70.380648000000008</v>
      </c>
      <c r="BA58" s="88">
        <f t="shared" si="42"/>
        <v>71.867224000000007</v>
      </c>
      <c r="BB58" s="87">
        <v>73.353800000000007</v>
      </c>
      <c r="BC58" s="88">
        <f t="shared" si="43"/>
        <v>74.840376000000006</v>
      </c>
      <c r="BD58" s="88">
        <f t="shared" si="44"/>
        <v>76.326952000000006</v>
      </c>
      <c r="BE58" s="88">
        <f t="shared" si="45"/>
        <v>77.813528000000005</v>
      </c>
      <c r="BF58" s="88">
        <f t="shared" si="46"/>
        <v>79.300104000000005</v>
      </c>
      <c r="BG58" s="88">
        <f t="shared" si="47"/>
        <v>80.786680000000004</v>
      </c>
      <c r="BH58" s="88">
        <f t="shared" si="48"/>
        <v>82.273256000000003</v>
      </c>
      <c r="BI58" s="88">
        <f t="shared" si="49"/>
        <v>83.759832000000003</v>
      </c>
      <c r="BJ58" s="88">
        <f t="shared" si="50"/>
        <v>85.246408000000002</v>
      </c>
      <c r="BK58" s="88">
        <f t="shared" si="51"/>
        <v>86.732984000000002</v>
      </c>
      <c r="BL58" s="87">
        <v>88.219560000000001</v>
      </c>
      <c r="BM58" s="88">
        <f t="shared" si="52"/>
        <v>89.706136000000001</v>
      </c>
      <c r="BN58" s="88">
        <f t="shared" si="53"/>
        <v>91.192712</v>
      </c>
      <c r="BO58" s="88">
        <f t="shared" si="54"/>
        <v>92.679288</v>
      </c>
      <c r="BP58" s="88">
        <f t="shared" si="55"/>
        <v>94.165863999999999</v>
      </c>
      <c r="BQ58" s="88">
        <f t="shared" si="56"/>
        <v>95.652440000000013</v>
      </c>
      <c r="BR58" s="88">
        <f t="shared" si="57"/>
        <v>97.139015999999998</v>
      </c>
      <c r="BS58" s="88">
        <f t="shared" si="58"/>
        <v>98.625592000000012</v>
      </c>
      <c r="BT58" s="88">
        <f t="shared" si="59"/>
        <v>100.11216800000001</v>
      </c>
      <c r="BU58" s="88">
        <f t="shared" si="60"/>
        <v>101.59874400000001</v>
      </c>
      <c r="BV58" s="87">
        <v>103.08532000000001</v>
      </c>
      <c r="BW58" s="88">
        <f t="shared" si="61"/>
        <v>104.57189600000001</v>
      </c>
      <c r="BX58" s="88">
        <f t="shared" si="62"/>
        <v>106.05847200000001</v>
      </c>
      <c r="BY58" s="88">
        <f t="shared" si="63"/>
        <v>107.54504800000001</v>
      </c>
      <c r="BZ58" s="88">
        <f t="shared" si="64"/>
        <v>109.03162400000001</v>
      </c>
      <c r="CA58" s="87">
        <v>110.51820000000001</v>
      </c>
      <c r="CB58" s="88">
        <f t="shared" si="65"/>
        <v>112.00477600000001</v>
      </c>
      <c r="CC58" s="88">
        <f t="shared" si="66"/>
        <v>113.49135200000001</v>
      </c>
      <c r="CD58" s="88">
        <f t="shared" si="67"/>
        <v>114.97792800000001</v>
      </c>
      <c r="CE58" s="88">
        <f t="shared" si="68"/>
        <v>116.46450400000001</v>
      </c>
      <c r="CF58" s="87">
        <v>117.95108</v>
      </c>
      <c r="CG58" s="88">
        <f t="shared" si="69"/>
        <v>119.437656</v>
      </c>
      <c r="CH58" s="88">
        <f t="shared" si="70"/>
        <v>120.924232</v>
      </c>
      <c r="CI58" s="88">
        <f t="shared" si="71"/>
        <v>122.41080799999999</v>
      </c>
      <c r="CJ58" s="88">
        <f t="shared" si="72"/>
        <v>123.89738399999999</v>
      </c>
      <c r="CK58" s="87">
        <v>125.38395999999999</v>
      </c>
      <c r="CL58" s="88">
        <f t="shared" si="73"/>
        <v>126.87053599999999</v>
      </c>
      <c r="CM58" s="88">
        <f t="shared" si="74"/>
        <v>128.357112</v>
      </c>
      <c r="CN58" s="88">
        <f t="shared" si="75"/>
        <v>129.84368799999999</v>
      </c>
      <c r="CO58" s="88">
        <f t="shared" si="76"/>
        <v>131.330264</v>
      </c>
      <c r="CP58" s="88">
        <f t="shared" si="77"/>
        <v>132.81683999999998</v>
      </c>
      <c r="CQ58" s="88">
        <f t="shared" si="78"/>
        <v>134.303416</v>
      </c>
      <c r="CR58" s="88">
        <f t="shared" si="79"/>
        <v>135.78999199999998</v>
      </c>
      <c r="CS58" s="88">
        <f t="shared" si="80"/>
        <v>137.276568</v>
      </c>
      <c r="CT58" s="88">
        <f t="shared" si="81"/>
        <v>138.76314399999998</v>
      </c>
      <c r="CU58" s="88">
        <f t="shared" si="82"/>
        <v>140.24972</v>
      </c>
      <c r="CV58" s="88">
        <f t="shared" si="83"/>
        <v>141.73629599999998</v>
      </c>
      <c r="CW58" s="88">
        <f t="shared" si="84"/>
        <v>143.222872</v>
      </c>
      <c r="CX58" s="88">
        <f t="shared" si="85"/>
        <v>144.70944800000001</v>
      </c>
      <c r="CY58" s="89">
        <v>146.19602399999999</v>
      </c>
      <c r="CZ58" s="1"/>
    </row>
    <row r="59" spans="2:104" ht="15.75" hidden="1" thickBot="1" x14ac:dyDescent="0.3">
      <c r="B59" s="58"/>
      <c r="C59" s="78">
        <f t="shared" si="86"/>
        <v>6720</v>
      </c>
      <c r="D59" s="90">
        <v>0</v>
      </c>
      <c r="E59" s="91">
        <f t="shared" si="2"/>
        <v>3.8036319999999995</v>
      </c>
      <c r="F59" s="91">
        <f t="shared" si="3"/>
        <v>7.6072639999999989</v>
      </c>
      <c r="G59" s="91">
        <f t="shared" si="4"/>
        <v>11.410895999999997</v>
      </c>
      <c r="H59" s="91">
        <f t="shared" si="5"/>
        <v>15.214527999999998</v>
      </c>
      <c r="I59" s="90">
        <v>19.018159999999998</v>
      </c>
      <c r="J59" s="91">
        <f t="shared" si="6"/>
        <v>20.805791999999997</v>
      </c>
      <c r="K59" s="91">
        <f t="shared" si="7"/>
        <v>22.593423999999999</v>
      </c>
      <c r="L59" s="91">
        <f t="shared" si="8"/>
        <v>24.381055999999997</v>
      </c>
      <c r="M59" s="91">
        <f t="shared" si="9"/>
        <v>26.168687999999996</v>
      </c>
      <c r="N59" s="90">
        <v>27.956319999999998</v>
      </c>
      <c r="O59" s="91">
        <f t="shared" si="10"/>
        <v>28.589071999999998</v>
      </c>
      <c r="P59" s="91">
        <f t="shared" si="11"/>
        <v>29.221823999999998</v>
      </c>
      <c r="Q59" s="91">
        <f t="shared" si="12"/>
        <v>29.854575999999998</v>
      </c>
      <c r="R59" s="91">
        <f t="shared" si="13"/>
        <v>30.487327999999998</v>
      </c>
      <c r="S59" s="90">
        <v>31.120079999999998</v>
      </c>
      <c r="T59" s="91">
        <f t="shared" si="14"/>
        <v>31.234431999999998</v>
      </c>
      <c r="U59" s="91">
        <f t="shared" si="15"/>
        <v>31.348784000000002</v>
      </c>
      <c r="V59" s="91">
        <f t="shared" si="16"/>
        <v>31.463136000000002</v>
      </c>
      <c r="W59" s="91">
        <f t="shared" si="17"/>
        <v>31.577488000000006</v>
      </c>
      <c r="X59" s="90">
        <v>31.691840000000006</v>
      </c>
      <c r="Y59" s="91">
        <f t="shared" si="18"/>
        <v>32.459632000000006</v>
      </c>
      <c r="Z59" s="91">
        <f t="shared" si="19"/>
        <v>33.227424000000006</v>
      </c>
      <c r="AA59" s="91">
        <f t="shared" si="20"/>
        <v>33.995215999999999</v>
      </c>
      <c r="AB59" s="91">
        <f t="shared" si="21"/>
        <v>34.763007999999999</v>
      </c>
      <c r="AC59" s="90">
        <v>35.530799999999999</v>
      </c>
      <c r="AD59" s="91">
        <f t="shared" si="22"/>
        <v>36.952032000000003</v>
      </c>
      <c r="AE59" s="91">
        <f t="shared" si="23"/>
        <v>38.373263999999999</v>
      </c>
      <c r="AF59" s="91">
        <f t="shared" si="24"/>
        <v>39.794496000000002</v>
      </c>
      <c r="AG59" s="91">
        <f t="shared" si="25"/>
        <v>41.215727999999999</v>
      </c>
      <c r="AH59" s="90">
        <v>42.636960000000002</v>
      </c>
      <c r="AI59" s="91">
        <f t="shared" si="26"/>
        <v>44.058192000000005</v>
      </c>
      <c r="AJ59" s="91">
        <f t="shared" si="27"/>
        <v>45.479424000000002</v>
      </c>
      <c r="AK59" s="91">
        <f t="shared" si="28"/>
        <v>46.900656000000005</v>
      </c>
      <c r="AL59" s="91">
        <f t="shared" si="29"/>
        <v>48.321888000000001</v>
      </c>
      <c r="AM59" s="90">
        <v>49.743120000000005</v>
      </c>
      <c r="AN59" s="91">
        <f t="shared" si="30"/>
        <v>51.164352000000008</v>
      </c>
      <c r="AO59" s="91">
        <f t="shared" si="31"/>
        <v>52.585584000000004</v>
      </c>
      <c r="AP59" s="91">
        <f t="shared" si="32"/>
        <v>54.006816000000008</v>
      </c>
      <c r="AQ59" s="91">
        <f t="shared" si="33"/>
        <v>55.428048000000004</v>
      </c>
      <c r="AR59" s="90">
        <v>56.849280000000007</v>
      </c>
      <c r="AS59" s="91">
        <f t="shared" si="34"/>
        <v>58.270512000000004</v>
      </c>
      <c r="AT59" s="91">
        <f t="shared" si="35"/>
        <v>59.691744000000007</v>
      </c>
      <c r="AU59" s="91">
        <f t="shared" si="36"/>
        <v>61.112976000000003</v>
      </c>
      <c r="AV59" s="91">
        <f t="shared" si="37"/>
        <v>62.534208000000007</v>
      </c>
      <c r="AW59" s="91">
        <f t="shared" si="38"/>
        <v>63.955440000000003</v>
      </c>
      <c r="AX59" s="91">
        <f t="shared" si="39"/>
        <v>65.376671999999999</v>
      </c>
      <c r="AY59" s="91">
        <f t="shared" si="40"/>
        <v>66.797904000000003</v>
      </c>
      <c r="AZ59" s="91">
        <f t="shared" si="41"/>
        <v>68.219136000000006</v>
      </c>
      <c r="BA59" s="91">
        <f t="shared" si="42"/>
        <v>69.640367999999995</v>
      </c>
      <c r="BB59" s="90">
        <v>71.061599999999999</v>
      </c>
      <c r="BC59" s="91">
        <f t="shared" si="43"/>
        <v>72.482832000000002</v>
      </c>
      <c r="BD59" s="91">
        <f t="shared" si="44"/>
        <v>73.904064000000005</v>
      </c>
      <c r="BE59" s="91">
        <f t="shared" si="45"/>
        <v>75.325295999999994</v>
      </c>
      <c r="BF59" s="91">
        <f t="shared" si="46"/>
        <v>76.746527999999998</v>
      </c>
      <c r="BG59" s="91">
        <f t="shared" si="47"/>
        <v>78.167760000000001</v>
      </c>
      <c r="BH59" s="91">
        <f t="shared" si="48"/>
        <v>79.588992000000005</v>
      </c>
      <c r="BI59" s="91">
        <f t="shared" si="49"/>
        <v>81.010224000000008</v>
      </c>
      <c r="BJ59" s="91">
        <f t="shared" si="50"/>
        <v>82.431455999999997</v>
      </c>
      <c r="BK59" s="91">
        <f t="shared" si="51"/>
        <v>83.852688000000001</v>
      </c>
      <c r="BL59" s="90">
        <v>85.273920000000004</v>
      </c>
      <c r="BM59" s="91">
        <f t="shared" si="52"/>
        <v>86.695152000000007</v>
      </c>
      <c r="BN59" s="91">
        <f t="shared" si="53"/>
        <v>88.116384000000011</v>
      </c>
      <c r="BO59" s="91">
        <f t="shared" si="54"/>
        <v>89.537616</v>
      </c>
      <c r="BP59" s="91">
        <f t="shared" si="55"/>
        <v>90.958848000000003</v>
      </c>
      <c r="BQ59" s="91">
        <f t="shared" si="56"/>
        <v>92.380080000000007</v>
      </c>
      <c r="BR59" s="91">
        <f t="shared" si="57"/>
        <v>93.80131200000001</v>
      </c>
      <c r="BS59" s="91">
        <f t="shared" si="58"/>
        <v>95.222544000000013</v>
      </c>
      <c r="BT59" s="91">
        <f t="shared" si="59"/>
        <v>96.643776000000003</v>
      </c>
      <c r="BU59" s="91">
        <f t="shared" si="60"/>
        <v>98.065008000000006</v>
      </c>
      <c r="BV59" s="90">
        <v>99.486240000000009</v>
      </c>
      <c r="BW59" s="91">
        <f t="shared" si="61"/>
        <v>100.90747200000001</v>
      </c>
      <c r="BX59" s="91">
        <f t="shared" si="62"/>
        <v>102.32870400000002</v>
      </c>
      <c r="BY59" s="91">
        <f t="shared" si="63"/>
        <v>103.74993600000001</v>
      </c>
      <c r="BZ59" s="91">
        <f t="shared" si="64"/>
        <v>105.17116800000001</v>
      </c>
      <c r="CA59" s="90">
        <v>106.59240000000001</v>
      </c>
      <c r="CB59" s="91">
        <f t="shared" si="65"/>
        <v>108.01363200000002</v>
      </c>
      <c r="CC59" s="91">
        <f t="shared" si="66"/>
        <v>109.43486400000002</v>
      </c>
      <c r="CD59" s="91">
        <f t="shared" si="67"/>
        <v>110.85609600000001</v>
      </c>
      <c r="CE59" s="91">
        <f t="shared" si="68"/>
        <v>112.27732800000001</v>
      </c>
      <c r="CF59" s="90">
        <v>113.69856000000001</v>
      </c>
      <c r="CG59" s="91">
        <f t="shared" si="69"/>
        <v>115.11979200000002</v>
      </c>
      <c r="CH59" s="91">
        <f t="shared" si="70"/>
        <v>116.54102400000001</v>
      </c>
      <c r="CI59" s="91">
        <f t="shared" si="71"/>
        <v>117.96225600000001</v>
      </c>
      <c r="CJ59" s="91">
        <f t="shared" si="72"/>
        <v>119.383488</v>
      </c>
      <c r="CK59" s="90">
        <v>120.80472</v>
      </c>
      <c r="CL59" s="91">
        <f t="shared" si="73"/>
        <v>122.22595200000001</v>
      </c>
      <c r="CM59" s="91">
        <f t="shared" si="74"/>
        <v>123.64718400000001</v>
      </c>
      <c r="CN59" s="91">
        <f t="shared" si="75"/>
        <v>125.06841600000001</v>
      </c>
      <c r="CO59" s="91">
        <f t="shared" si="76"/>
        <v>126.489648</v>
      </c>
      <c r="CP59" s="91">
        <f t="shared" si="77"/>
        <v>127.91088000000001</v>
      </c>
      <c r="CQ59" s="91">
        <f t="shared" si="78"/>
        <v>129.33211200000002</v>
      </c>
      <c r="CR59" s="91">
        <f t="shared" si="79"/>
        <v>130.75334400000003</v>
      </c>
      <c r="CS59" s="91">
        <f t="shared" si="80"/>
        <v>132.174576</v>
      </c>
      <c r="CT59" s="91">
        <f t="shared" si="81"/>
        <v>133.59580800000001</v>
      </c>
      <c r="CU59" s="91">
        <f t="shared" si="82"/>
        <v>135.01704000000001</v>
      </c>
      <c r="CV59" s="91">
        <f t="shared" si="83"/>
        <v>136.43827200000001</v>
      </c>
      <c r="CW59" s="91">
        <f t="shared" si="84"/>
        <v>137.85950400000002</v>
      </c>
      <c r="CX59" s="91">
        <f t="shared" si="85"/>
        <v>139.28073600000002</v>
      </c>
      <c r="CY59" s="92">
        <v>140.70196800000002</v>
      </c>
      <c r="CZ59" s="1"/>
    </row>
    <row r="60" spans="2:104" ht="15.75" hidden="1" thickTop="1" x14ac:dyDescent="0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</row>
  </sheetData>
  <sheetProtection algorithmName="SHA-512" hashValue="0tPW4K5XGzcGGrKdxCtvMmeyMSlrzx4OUKppNVJdvKiVJ6rcDZ0Inc7qW+nVVgJ8kbpQvVXFRb++OPau35U5mw==" saltValue="ZXp89eszrHf46tzvJCKpYw==" spinCount="100000" sheet="1" objects="1" scenarios="1"/>
  <mergeCells count="6">
    <mergeCell ref="B2:T2"/>
    <mergeCell ref="B22:O22"/>
    <mergeCell ref="B42:Q42"/>
    <mergeCell ref="R23:X29"/>
    <mergeCell ref="R30:X31"/>
    <mergeCell ref="T33:X33"/>
  </mergeCells>
  <conditionalFormatting sqref="T4:T19">
    <cfRule type="colorScale" priority="3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24:N39">
    <cfRule type="colorScale" priority="2">
      <colorScale>
        <cfvo type="num" val="0"/>
        <cfvo type="num" val="50"/>
        <cfvo type="num" val="100"/>
        <color rgb="FF9BBB59"/>
        <color rgb="FFFDE9D9"/>
        <color rgb="FFF9B277"/>
      </colorScale>
    </cfRule>
  </conditionalFormatting>
  <conditionalFormatting sqref="E44:H59 J44:M59 O44:R59 T44:W59 Y44:AB59 AD44:AG59 AI44:AL59 AN44:AQ59 AS44:BA59 BC44:BK59 BM44:BU59 BW44:BZ59 CB44:CE59 CG44:CJ59 CL44:CX59">
    <cfRule type="colorScale" priority="4">
      <colorScale>
        <cfvo type="formula" val="0"/>
        <cfvo type="formula" val="MAX($D$4:$S$19)/2"/>
        <cfvo type="formula" val="MAX($D$4:$S$19)"/>
        <color rgb="FF9BBB59"/>
        <color rgb="FFFDE9D9"/>
        <color rgb="FFF9B277"/>
      </colorScale>
    </cfRule>
  </conditionalFormatting>
  <dataValidations count="4">
    <dataValidation showInputMessage="1" showErrorMessage="1" sqref="D3 S3" xr:uid="{00000000-0002-0000-0800-000000000000}"/>
    <dataValidation type="whole" showInputMessage="1" showErrorMessage="1" sqref="C24:C39 C4:C19" xr:uid="{00000000-0002-0000-0800-000001000000}">
      <formula1>0</formula1>
      <formula2>8000</formula2>
    </dataValidation>
    <dataValidation type="whole" showInputMessage="1" showErrorMessage="1" sqref="D23:N23" xr:uid="{00000000-0002-0000-0800-000002000000}">
      <formula1>0</formula1>
      <formula2>400</formula2>
    </dataValidation>
    <dataValidation type="whole" showInputMessage="1" showErrorMessage="1" sqref="E3:R3" xr:uid="{00000000-0002-0000-0800-000003000000}">
      <formula1>1</formula1>
      <formula2>98</formula2>
    </dataValidation>
  </dataValidations>
  <hyperlinks>
    <hyperlink ref="R30" r:id="rId1" xr:uid="{00000000-0004-0000-0800-000000000000}"/>
  </hyperlinks>
  <pageMargins left="0.7" right="0.7" top="0.75" bottom="0.75" header="0.3" footer="0.3"/>
  <pageSetup paperSize="9" orientation="portrait" r:id="rId2"/>
  <drawing r:id="rId3"/>
  <legacyDrawing r:id="rId4"/>
  <oleObjects>
    <mc:AlternateContent xmlns:mc="http://schemas.openxmlformats.org/markup-compatibility/2006">
      <mc:Choice Requires="x14">
        <oleObject progId="Photoshop.Image.12" shapeId="1031" r:id="rId5">
          <objectPr defaultSize="0" macro="[0]!KFMIOP_CALC1_suggest_axes" altText="Suggest OPTIMAL x-axis" r:id="rId6">
            <anchor moveWithCells="1" sizeWithCells="1">
              <from>
                <xdr:col>10</xdr:col>
                <xdr:colOff>19050</xdr:colOff>
                <xdr:row>21</xdr:row>
                <xdr:rowOff>66675</xdr:rowOff>
              </from>
              <to>
                <xdr:col>13</xdr:col>
                <xdr:colOff>561975</xdr:colOff>
                <xdr:row>21</xdr:row>
                <xdr:rowOff>352425</xdr:rowOff>
              </to>
            </anchor>
          </objectPr>
        </oleObject>
      </mc:Choice>
      <mc:Fallback>
        <oleObject progId="Photoshop.Image.12" shapeId="1031" r:id="rId5"/>
      </mc:Fallback>
    </mc:AlternateContent>
  </oleObjec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B1:CZ60"/>
  <sheetViews>
    <sheetView showGridLines="0" showRowColHeaders="0" workbookViewId="0"/>
  </sheetViews>
  <sheetFormatPr defaultRowHeight="15" x14ac:dyDescent="0.25"/>
  <cols>
    <col min="1" max="1" width="1.42578125" style="2" customWidth="1"/>
    <col min="2" max="2" width="8.7109375" style="2" customWidth="1"/>
    <col min="3" max="3" width="9.140625" style="2"/>
    <col min="4" max="27" width="8.7109375" style="2" customWidth="1"/>
    <col min="28" max="104" width="8.7109375" style="2" hidden="1" customWidth="1"/>
    <col min="105" max="16384" width="9.140625" style="2"/>
  </cols>
  <sheetData>
    <row r="1" spans="2:28" ht="20.25" customHeight="1" x14ac:dyDescent="0.25"/>
    <row r="2" spans="2:28" ht="31.5" thickBot="1" x14ac:dyDescent="0.3">
      <c r="B2" s="347" t="s">
        <v>18</v>
      </c>
      <c r="C2" s="377"/>
      <c r="D2" s="377"/>
      <c r="E2" s="377"/>
      <c r="F2" s="377"/>
      <c r="G2" s="377"/>
      <c r="H2" s="377"/>
      <c r="I2" s="377"/>
      <c r="J2" s="377"/>
      <c r="K2" s="377"/>
      <c r="L2" s="377"/>
      <c r="M2" s="377"/>
      <c r="N2" s="377"/>
      <c r="O2" s="377"/>
      <c r="P2" s="377"/>
      <c r="Q2" s="6"/>
      <c r="R2" s="6"/>
      <c r="S2" s="6"/>
      <c r="T2" s="6"/>
      <c r="U2" s="6"/>
    </row>
    <row r="3" spans="2:28" ht="27.75" customHeight="1" thickTop="1" thickBot="1" x14ac:dyDescent="0.3">
      <c r="B3" s="1"/>
      <c r="C3" s="7" t="s">
        <v>16</v>
      </c>
      <c r="D3" s="96">
        <v>0</v>
      </c>
      <c r="E3" s="94">
        <v>10</v>
      </c>
      <c r="F3" s="94">
        <v>15</v>
      </c>
      <c r="G3" s="94">
        <v>20</v>
      </c>
      <c r="H3" s="94">
        <v>30</v>
      </c>
      <c r="I3" s="94">
        <v>40</v>
      </c>
      <c r="J3" s="94">
        <v>50</v>
      </c>
      <c r="K3" s="94">
        <v>60</v>
      </c>
      <c r="L3" s="94">
        <v>70</v>
      </c>
      <c r="M3" s="94">
        <v>80</v>
      </c>
      <c r="N3" s="94">
        <v>90</v>
      </c>
      <c r="O3" s="95">
        <v>99</v>
      </c>
      <c r="P3" s="8"/>
      <c r="Q3" s="9"/>
    </row>
    <row r="4" spans="2:28" ht="15" customHeight="1" thickTop="1" x14ac:dyDescent="0.25">
      <c r="B4" s="1"/>
      <c r="C4" s="74">
        <v>480</v>
      </c>
      <c r="D4" s="10">
        <v>0</v>
      </c>
      <c r="E4" s="11">
        <v>0</v>
      </c>
      <c r="F4" s="11">
        <v>0</v>
      </c>
      <c r="G4" s="11">
        <v>0</v>
      </c>
      <c r="H4" s="11">
        <v>0</v>
      </c>
      <c r="I4" s="11">
        <v>0</v>
      </c>
      <c r="J4" s="11">
        <v>0</v>
      </c>
      <c r="K4" s="11">
        <v>0</v>
      </c>
      <c r="L4" s="11">
        <v>0</v>
      </c>
      <c r="M4" s="11">
        <v>0</v>
      </c>
      <c r="N4" s="11">
        <v>0</v>
      </c>
      <c r="O4" s="12">
        <v>0</v>
      </c>
      <c r="P4" s="13"/>
      <c r="Q4" s="14"/>
    </row>
    <row r="5" spans="2:28" ht="15" customHeight="1" x14ac:dyDescent="0.25">
      <c r="B5" s="1"/>
      <c r="C5" s="75">
        <v>720</v>
      </c>
      <c r="D5" s="15">
        <v>0</v>
      </c>
      <c r="E5" s="16">
        <v>0</v>
      </c>
      <c r="F5" s="16">
        <v>0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v>0</v>
      </c>
      <c r="O5" s="17">
        <v>0</v>
      </c>
      <c r="P5" s="13"/>
      <c r="Q5" s="14"/>
      <c r="R5" s="81"/>
      <c r="S5" s="81"/>
      <c r="T5" s="81"/>
      <c r="U5" s="81"/>
    </row>
    <row r="6" spans="2:28" ht="15" customHeight="1" x14ac:dyDescent="0.25">
      <c r="B6" s="1"/>
      <c r="C6" s="75">
        <v>1000</v>
      </c>
      <c r="D6" s="15">
        <v>0</v>
      </c>
      <c r="E6" s="16">
        <v>0</v>
      </c>
      <c r="F6" s="16">
        <v>0</v>
      </c>
      <c r="G6" s="16">
        <v>0</v>
      </c>
      <c r="H6" s="16">
        <v>0</v>
      </c>
      <c r="I6" s="16">
        <v>0</v>
      </c>
      <c r="J6" s="16">
        <v>0</v>
      </c>
      <c r="K6" s="16">
        <v>0</v>
      </c>
      <c r="L6" s="16">
        <v>0</v>
      </c>
      <c r="M6" s="16">
        <v>0</v>
      </c>
      <c r="N6" s="16">
        <v>0</v>
      </c>
      <c r="O6" s="17">
        <v>0</v>
      </c>
      <c r="P6" s="13"/>
      <c r="Q6" s="14"/>
      <c r="R6" s="82"/>
      <c r="S6" s="83"/>
      <c r="T6" s="83"/>
      <c r="U6" s="83"/>
    </row>
    <row r="7" spans="2:28" ht="15" customHeight="1" x14ac:dyDescent="0.25">
      <c r="B7" s="1"/>
      <c r="C7" s="75">
        <v>1240</v>
      </c>
      <c r="D7" s="15">
        <v>0</v>
      </c>
      <c r="E7" s="16">
        <v>0</v>
      </c>
      <c r="F7" s="16">
        <v>0</v>
      </c>
      <c r="G7" s="16">
        <v>0</v>
      </c>
      <c r="H7" s="16">
        <v>0</v>
      </c>
      <c r="I7" s="16">
        <v>0</v>
      </c>
      <c r="J7" s="16">
        <v>0</v>
      </c>
      <c r="K7" s="16">
        <v>0</v>
      </c>
      <c r="L7" s="16">
        <v>0</v>
      </c>
      <c r="M7" s="16">
        <v>0</v>
      </c>
      <c r="N7" s="16">
        <v>0</v>
      </c>
      <c r="O7" s="17">
        <v>0</v>
      </c>
      <c r="P7" s="13"/>
      <c r="Q7" s="14"/>
      <c r="R7" s="83"/>
      <c r="S7" s="83"/>
      <c r="T7" s="83"/>
      <c r="U7" s="83"/>
    </row>
    <row r="8" spans="2:28" ht="15" customHeight="1" x14ac:dyDescent="0.25">
      <c r="B8" s="1"/>
      <c r="C8" s="75">
        <v>1520</v>
      </c>
      <c r="D8" s="15">
        <v>0</v>
      </c>
      <c r="E8" s="16">
        <v>0</v>
      </c>
      <c r="F8" s="16">
        <v>0</v>
      </c>
      <c r="G8" s="16">
        <v>0</v>
      </c>
      <c r="H8" s="16">
        <v>0</v>
      </c>
      <c r="I8" s="16">
        <v>0</v>
      </c>
      <c r="J8" s="16">
        <v>0</v>
      </c>
      <c r="K8" s="16">
        <v>0</v>
      </c>
      <c r="L8" s="16">
        <v>0</v>
      </c>
      <c r="M8" s="16">
        <v>0</v>
      </c>
      <c r="N8" s="16">
        <v>0</v>
      </c>
      <c r="O8" s="17">
        <v>0</v>
      </c>
      <c r="P8" s="13"/>
      <c r="Q8" s="14"/>
      <c r="R8" s="83"/>
      <c r="S8" s="83"/>
      <c r="T8" s="83"/>
      <c r="U8" s="83"/>
    </row>
    <row r="9" spans="2:28" ht="15" customHeight="1" x14ac:dyDescent="0.25">
      <c r="B9" s="1"/>
      <c r="C9" s="75">
        <v>1760</v>
      </c>
      <c r="D9" s="15">
        <v>0</v>
      </c>
      <c r="E9" s="16">
        <v>0</v>
      </c>
      <c r="F9" s="16">
        <v>0</v>
      </c>
      <c r="G9" s="16">
        <v>0</v>
      </c>
      <c r="H9" s="16">
        <v>0</v>
      </c>
      <c r="I9" s="16">
        <v>0</v>
      </c>
      <c r="J9" s="16">
        <v>0</v>
      </c>
      <c r="K9" s="16">
        <v>0</v>
      </c>
      <c r="L9" s="16">
        <v>0</v>
      </c>
      <c r="M9" s="16">
        <v>0</v>
      </c>
      <c r="N9" s="16">
        <v>0</v>
      </c>
      <c r="O9" s="17">
        <v>0</v>
      </c>
      <c r="P9" s="13"/>
      <c r="Q9" s="14"/>
      <c r="R9" s="83"/>
      <c r="S9" s="83"/>
      <c r="T9" s="83"/>
      <c r="U9" s="83"/>
    </row>
    <row r="10" spans="2:28" ht="15" customHeight="1" x14ac:dyDescent="0.25">
      <c r="B10" s="1"/>
      <c r="C10" s="75">
        <v>2000</v>
      </c>
      <c r="D10" s="15">
        <v>0</v>
      </c>
      <c r="E10" s="16">
        <v>0</v>
      </c>
      <c r="F10" s="16">
        <v>0</v>
      </c>
      <c r="G10" s="16">
        <v>0</v>
      </c>
      <c r="H10" s="16">
        <v>0</v>
      </c>
      <c r="I10" s="16">
        <v>0</v>
      </c>
      <c r="J10" s="16">
        <v>0</v>
      </c>
      <c r="K10" s="16">
        <v>0</v>
      </c>
      <c r="L10" s="16">
        <v>0</v>
      </c>
      <c r="M10" s="16">
        <v>0</v>
      </c>
      <c r="N10" s="16">
        <v>0</v>
      </c>
      <c r="O10" s="17">
        <v>0</v>
      </c>
      <c r="P10" s="13"/>
      <c r="Q10" s="14"/>
      <c r="R10" s="81"/>
      <c r="S10" s="81"/>
      <c r="T10" s="81"/>
      <c r="U10" s="81"/>
    </row>
    <row r="11" spans="2:28" ht="15" customHeight="1" x14ac:dyDescent="0.25">
      <c r="B11" s="1"/>
      <c r="C11" s="75">
        <v>2520</v>
      </c>
      <c r="D11" s="15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  <c r="M11" s="16">
        <v>0</v>
      </c>
      <c r="N11" s="16">
        <v>0</v>
      </c>
      <c r="O11" s="17">
        <v>0</v>
      </c>
      <c r="P11" s="13"/>
      <c r="Q11" s="14"/>
      <c r="R11" s="81"/>
      <c r="S11" s="81"/>
      <c r="T11" s="81"/>
      <c r="U11" s="81"/>
      <c r="AB11" s="18"/>
    </row>
    <row r="12" spans="2:28" ht="15" customHeight="1" x14ac:dyDescent="0.25">
      <c r="B12" s="1"/>
      <c r="C12" s="75">
        <v>3000</v>
      </c>
      <c r="D12" s="15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  <c r="M12" s="16">
        <v>0</v>
      </c>
      <c r="N12" s="16">
        <v>0</v>
      </c>
      <c r="O12" s="17">
        <v>0</v>
      </c>
      <c r="P12" s="13"/>
      <c r="Q12" s="14"/>
      <c r="R12" s="81"/>
      <c r="S12" s="81"/>
      <c r="T12" s="81"/>
      <c r="U12" s="81"/>
      <c r="AB12" s="18"/>
    </row>
    <row r="13" spans="2:28" ht="15" customHeight="1" x14ac:dyDescent="0.25">
      <c r="B13" s="1"/>
      <c r="C13" s="75">
        <v>3520</v>
      </c>
      <c r="D13" s="15">
        <v>0</v>
      </c>
      <c r="E13" s="16">
        <v>0</v>
      </c>
      <c r="F13" s="16">
        <v>0</v>
      </c>
      <c r="G13" s="16">
        <v>0</v>
      </c>
      <c r="H13" s="16">
        <v>0</v>
      </c>
      <c r="I13" s="16">
        <v>0</v>
      </c>
      <c r="J13" s="16">
        <v>0</v>
      </c>
      <c r="K13" s="16">
        <v>0</v>
      </c>
      <c r="L13" s="16">
        <v>0</v>
      </c>
      <c r="M13" s="16">
        <v>0</v>
      </c>
      <c r="N13" s="16">
        <v>0</v>
      </c>
      <c r="O13" s="17">
        <v>0</v>
      </c>
      <c r="P13" s="13"/>
      <c r="Q13" s="14"/>
      <c r="R13" s="81"/>
      <c r="S13" s="81"/>
      <c r="T13" s="81"/>
      <c r="U13" s="81"/>
    </row>
    <row r="14" spans="2:28" ht="15" customHeight="1" x14ac:dyDescent="0.25">
      <c r="B14" s="1"/>
      <c r="C14" s="75">
        <v>4000</v>
      </c>
      <c r="D14" s="15">
        <v>0</v>
      </c>
      <c r="E14" s="16">
        <v>0</v>
      </c>
      <c r="F14" s="16">
        <v>0</v>
      </c>
      <c r="G14" s="16">
        <v>0</v>
      </c>
      <c r="H14" s="16">
        <v>0</v>
      </c>
      <c r="I14" s="16">
        <v>0</v>
      </c>
      <c r="J14" s="16">
        <v>0</v>
      </c>
      <c r="K14" s="16">
        <v>0</v>
      </c>
      <c r="L14" s="16">
        <v>0</v>
      </c>
      <c r="M14" s="16">
        <v>0</v>
      </c>
      <c r="N14" s="16">
        <v>0</v>
      </c>
      <c r="O14" s="17">
        <v>0</v>
      </c>
      <c r="P14" s="13"/>
      <c r="Q14" s="14"/>
      <c r="R14" s="81"/>
      <c r="S14" s="81"/>
      <c r="T14" s="81"/>
      <c r="U14" s="81"/>
    </row>
    <row r="15" spans="2:28" ht="15" customHeight="1" x14ac:dyDescent="0.25">
      <c r="B15" s="1"/>
      <c r="C15" s="75">
        <v>4520</v>
      </c>
      <c r="D15" s="15">
        <v>0</v>
      </c>
      <c r="E15" s="16">
        <v>0</v>
      </c>
      <c r="F15" s="16">
        <v>0</v>
      </c>
      <c r="G15" s="16">
        <v>0</v>
      </c>
      <c r="H15" s="16">
        <v>0</v>
      </c>
      <c r="I15" s="16">
        <v>0</v>
      </c>
      <c r="J15" s="16">
        <v>0</v>
      </c>
      <c r="K15" s="16">
        <v>0</v>
      </c>
      <c r="L15" s="16">
        <v>0</v>
      </c>
      <c r="M15" s="16">
        <v>0</v>
      </c>
      <c r="N15" s="16">
        <v>0</v>
      </c>
      <c r="O15" s="17">
        <v>0</v>
      </c>
      <c r="P15" s="13"/>
      <c r="Q15" s="14"/>
    </row>
    <row r="16" spans="2:28" ht="15" customHeight="1" x14ac:dyDescent="0.25">
      <c r="B16" s="1"/>
      <c r="C16" s="75">
        <v>5000</v>
      </c>
      <c r="D16" s="15">
        <v>0</v>
      </c>
      <c r="E16" s="16">
        <v>0</v>
      </c>
      <c r="F16" s="16">
        <v>0</v>
      </c>
      <c r="G16" s="16">
        <v>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  <c r="M16" s="16">
        <v>0</v>
      </c>
      <c r="N16" s="16">
        <v>0</v>
      </c>
      <c r="O16" s="17">
        <v>0</v>
      </c>
      <c r="P16" s="13"/>
      <c r="Q16" s="14"/>
      <c r="S16" s="18"/>
      <c r="T16" s="18"/>
      <c r="U16" s="18"/>
      <c r="V16" s="18"/>
      <c r="W16" s="18"/>
      <c r="X16" s="18"/>
      <c r="Y16" s="18"/>
      <c r="Z16" s="18"/>
    </row>
    <row r="17" spans="2:26" ht="15" customHeight="1" x14ac:dyDescent="0.25">
      <c r="B17" s="1"/>
      <c r="C17" s="75">
        <v>5720</v>
      </c>
      <c r="D17" s="15">
        <v>0</v>
      </c>
      <c r="E17" s="16">
        <v>0</v>
      </c>
      <c r="F17" s="16">
        <v>0</v>
      </c>
      <c r="G17" s="16">
        <v>0</v>
      </c>
      <c r="H17" s="16">
        <v>0</v>
      </c>
      <c r="I17" s="16">
        <v>0</v>
      </c>
      <c r="J17" s="16">
        <v>0</v>
      </c>
      <c r="K17" s="16">
        <v>0</v>
      </c>
      <c r="L17" s="16">
        <v>0</v>
      </c>
      <c r="M17" s="16">
        <v>0</v>
      </c>
      <c r="N17" s="16">
        <v>0</v>
      </c>
      <c r="O17" s="17">
        <v>0</v>
      </c>
      <c r="P17" s="13"/>
      <c r="Q17" s="14"/>
      <c r="S17" s="18"/>
      <c r="T17" s="18"/>
      <c r="U17" s="18"/>
      <c r="V17" s="18"/>
      <c r="W17" s="18"/>
      <c r="X17" s="18"/>
      <c r="Y17" s="18"/>
      <c r="Z17" s="18"/>
    </row>
    <row r="18" spans="2:26" ht="15" customHeight="1" x14ac:dyDescent="0.25">
      <c r="B18" s="1"/>
      <c r="C18" s="75">
        <v>6000</v>
      </c>
      <c r="D18" s="15">
        <v>0</v>
      </c>
      <c r="E18" s="16">
        <v>0</v>
      </c>
      <c r="F18" s="16">
        <v>0</v>
      </c>
      <c r="G18" s="16">
        <v>0</v>
      </c>
      <c r="H18" s="16">
        <v>0</v>
      </c>
      <c r="I18" s="16">
        <v>0</v>
      </c>
      <c r="J18" s="16">
        <v>0</v>
      </c>
      <c r="K18" s="16">
        <v>0</v>
      </c>
      <c r="L18" s="16">
        <v>0</v>
      </c>
      <c r="M18" s="16">
        <v>0</v>
      </c>
      <c r="N18" s="16">
        <v>0</v>
      </c>
      <c r="O18" s="17">
        <v>0</v>
      </c>
      <c r="P18" s="13"/>
      <c r="Q18" s="14"/>
      <c r="S18" s="18"/>
      <c r="T18" s="18"/>
      <c r="U18" s="18"/>
      <c r="V18" s="18"/>
      <c r="W18" s="18"/>
      <c r="X18" s="18"/>
      <c r="Y18" s="18"/>
      <c r="Z18" s="18"/>
    </row>
    <row r="19" spans="2:26" ht="15" customHeight="1" thickBot="1" x14ac:dyDescent="0.3">
      <c r="B19" s="1"/>
      <c r="C19" s="76">
        <v>6720</v>
      </c>
      <c r="D19" s="19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>
        <v>0</v>
      </c>
      <c r="P19" s="13"/>
      <c r="Q19" s="14"/>
    </row>
    <row r="20" spans="2:26" ht="15.75" thickTop="1" x14ac:dyDescent="0.25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2" spans="2:26" ht="31.5" customHeight="1" thickBot="1" x14ac:dyDescent="0.3">
      <c r="B22" s="347" t="s">
        <v>19</v>
      </c>
      <c r="C22" s="348"/>
      <c r="D22" s="348"/>
      <c r="E22" s="348"/>
      <c r="F22" s="348"/>
      <c r="G22" s="348"/>
      <c r="H22" s="348"/>
      <c r="I22" s="348"/>
      <c r="J22" s="348"/>
      <c r="K22" s="348"/>
      <c r="L22" s="348"/>
      <c r="M22" s="348"/>
      <c r="N22" s="348"/>
      <c r="O22" s="348"/>
      <c r="P22" s="6"/>
      <c r="Q22" s="22"/>
      <c r="R22" s="22"/>
      <c r="S22" s="22"/>
      <c r="T22" s="22"/>
      <c r="U22" s="22"/>
      <c r="V22" s="22"/>
      <c r="W22" s="22"/>
      <c r="X22" s="22"/>
      <c r="Y22" s="22"/>
    </row>
    <row r="23" spans="2:26" ht="27.75" customHeight="1" thickTop="1" thickBot="1" x14ac:dyDescent="0.3">
      <c r="B23" s="23"/>
      <c r="C23" s="7" t="s">
        <v>16</v>
      </c>
      <c r="D23" s="114">
        <v>0</v>
      </c>
      <c r="E23" s="115">
        <v>0</v>
      </c>
      <c r="F23" s="115">
        <v>0</v>
      </c>
      <c r="G23" s="115">
        <v>0</v>
      </c>
      <c r="H23" s="115">
        <v>0</v>
      </c>
      <c r="I23" s="115">
        <v>0</v>
      </c>
      <c r="J23" s="115">
        <v>0</v>
      </c>
      <c r="K23" s="115">
        <v>0</v>
      </c>
      <c r="L23" s="115">
        <v>0</v>
      </c>
      <c r="M23" s="115">
        <v>0</v>
      </c>
      <c r="N23" s="116">
        <v>0</v>
      </c>
      <c r="O23" s="1"/>
      <c r="Q23" s="24"/>
      <c r="R23" s="320" t="s">
        <v>36</v>
      </c>
      <c r="S23" s="321"/>
      <c r="T23" s="321"/>
      <c r="U23" s="321"/>
      <c r="V23" s="321"/>
      <c r="W23" s="321"/>
      <c r="X23" s="321"/>
      <c r="Y23" s="22"/>
    </row>
    <row r="24" spans="2:26" ht="15.75" thickTop="1" x14ac:dyDescent="0.25">
      <c r="B24" s="23"/>
      <c r="C24" s="110">
        <v>1000</v>
      </c>
      <c r="D24" s="25">
        <f>MATCH(D$23, $D44:$CY44, 1)</f>
        <v>100</v>
      </c>
      <c r="E24" s="26">
        <f t="shared" ref="E24:N24" si="0">MATCH(E$23, $D44:$CY44, 1)</f>
        <v>100</v>
      </c>
      <c r="F24" s="26">
        <f t="shared" si="0"/>
        <v>100</v>
      </c>
      <c r="G24" s="26">
        <f t="shared" si="0"/>
        <v>100</v>
      </c>
      <c r="H24" s="26">
        <f t="shared" si="0"/>
        <v>100</v>
      </c>
      <c r="I24" s="26">
        <f t="shared" si="0"/>
        <v>100</v>
      </c>
      <c r="J24" s="26">
        <f t="shared" si="0"/>
        <v>100</v>
      </c>
      <c r="K24" s="26">
        <f t="shared" si="0"/>
        <v>100</v>
      </c>
      <c r="L24" s="26">
        <f t="shared" si="0"/>
        <v>100</v>
      </c>
      <c r="M24" s="26">
        <f t="shared" si="0"/>
        <v>100</v>
      </c>
      <c r="N24" s="27">
        <f t="shared" si="0"/>
        <v>100</v>
      </c>
      <c r="O24" s="1"/>
      <c r="Q24" s="24"/>
      <c r="R24" s="323"/>
      <c r="S24" s="353"/>
      <c r="T24" s="353"/>
      <c r="U24" s="353"/>
      <c r="V24" s="353"/>
      <c r="W24" s="353"/>
      <c r="X24" s="353"/>
      <c r="Y24" s="22"/>
    </row>
    <row r="25" spans="2:26" x14ac:dyDescent="0.25">
      <c r="B25" s="23"/>
      <c r="C25" s="111">
        <v>1250</v>
      </c>
      <c r="D25" s="28">
        <f t="shared" ref="D25:N39" si="1">MATCH(D$23, $D45:$CY45, 1)</f>
        <v>100</v>
      </c>
      <c r="E25" s="29">
        <f t="shared" si="1"/>
        <v>100</v>
      </c>
      <c r="F25" s="29">
        <f t="shared" si="1"/>
        <v>100</v>
      </c>
      <c r="G25" s="29">
        <f t="shared" si="1"/>
        <v>100</v>
      </c>
      <c r="H25" s="29">
        <f t="shared" si="1"/>
        <v>100</v>
      </c>
      <c r="I25" s="29">
        <f t="shared" si="1"/>
        <v>100</v>
      </c>
      <c r="J25" s="29">
        <f t="shared" si="1"/>
        <v>100</v>
      </c>
      <c r="K25" s="29">
        <f t="shared" si="1"/>
        <v>100</v>
      </c>
      <c r="L25" s="29">
        <f t="shared" si="1"/>
        <v>100</v>
      </c>
      <c r="M25" s="29">
        <f t="shared" si="1"/>
        <v>100</v>
      </c>
      <c r="N25" s="30">
        <f t="shared" si="1"/>
        <v>100</v>
      </c>
      <c r="O25" s="1"/>
      <c r="Q25" s="24"/>
      <c r="R25" s="323"/>
      <c r="S25" s="353"/>
      <c r="T25" s="353"/>
      <c r="U25" s="353"/>
      <c r="V25" s="353"/>
      <c r="W25" s="353"/>
      <c r="X25" s="353"/>
      <c r="Y25" s="22"/>
    </row>
    <row r="26" spans="2:26" x14ac:dyDescent="0.25">
      <c r="B26" s="23"/>
      <c r="C26" s="111">
        <v>1500</v>
      </c>
      <c r="D26" s="28">
        <f t="shared" si="1"/>
        <v>100</v>
      </c>
      <c r="E26" s="29">
        <f t="shared" si="1"/>
        <v>100</v>
      </c>
      <c r="F26" s="29">
        <f t="shared" si="1"/>
        <v>100</v>
      </c>
      <c r="G26" s="29">
        <f t="shared" si="1"/>
        <v>100</v>
      </c>
      <c r="H26" s="29">
        <f t="shared" si="1"/>
        <v>100</v>
      </c>
      <c r="I26" s="29">
        <f t="shared" si="1"/>
        <v>100</v>
      </c>
      <c r="J26" s="29">
        <f t="shared" si="1"/>
        <v>100</v>
      </c>
      <c r="K26" s="29">
        <f t="shared" si="1"/>
        <v>100</v>
      </c>
      <c r="L26" s="29">
        <f t="shared" si="1"/>
        <v>100</v>
      </c>
      <c r="M26" s="29">
        <f t="shared" si="1"/>
        <v>100</v>
      </c>
      <c r="N26" s="30">
        <f t="shared" si="1"/>
        <v>100</v>
      </c>
      <c r="O26" s="1"/>
      <c r="Q26" s="24"/>
      <c r="R26" s="323"/>
      <c r="S26" s="353"/>
      <c r="T26" s="353"/>
      <c r="U26" s="353"/>
      <c r="V26" s="353"/>
      <c r="W26" s="353"/>
      <c r="X26" s="353"/>
      <c r="Y26" s="22"/>
    </row>
    <row r="27" spans="2:26" x14ac:dyDescent="0.25">
      <c r="B27" s="23"/>
      <c r="C27" s="111">
        <v>1750</v>
      </c>
      <c r="D27" s="28">
        <f t="shared" si="1"/>
        <v>100</v>
      </c>
      <c r="E27" s="29">
        <f t="shared" si="1"/>
        <v>100</v>
      </c>
      <c r="F27" s="29">
        <f t="shared" si="1"/>
        <v>100</v>
      </c>
      <c r="G27" s="29">
        <f t="shared" si="1"/>
        <v>100</v>
      </c>
      <c r="H27" s="29">
        <f t="shared" si="1"/>
        <v>100</v>
      </c>
      <c r="I27" s="29">
        <f t="shared" si="1"/>
        <v>100</v>
      </c>
      <c r="J27" s="29">
        <f t="shared" si="1"/>
        <v>100</v>
      </c>
      <c r="K27" s="29">
        <f t="shared" si="1"/>
        <v>100</v>
      </c>
      <c r="L27" s="29">
        <f t="shared" si="1"/>
        <v>100</v>
      </c>
      <c r="M27" s="29">
        <f t="shared" si="1"/>
        <v>100</v>
      </c>
      <c r="N27" s="30">
        <f t="shared" si="1"/>
        <v>100</v>
      </c>
      <c r="O27" s="1"/>
      <c r="Q27" s="24"/>
      <c r="R27" s="323"/>
      <c r="S27" s="353"/>
      <c r="T27" s="353"/>
      <c r="U27" s="353"/>
      <c r="V27" s="353"/>
      <c r="W27" s="353"/>
      <c r="X27" s="353"/>
      <c r="Y27" s="22"/>
    </row>
    <row r="28" spans="2:26" x14ac:dyDescent="0.25">
      <c r="B28" s="23"/>
      <c r="C28" s="111">
        <v>2000</v>
      </c>
      <c r="D28" s="28">
        <f t="shared" si="1"/>
        <v>100</v>
      </c>
      <c r="E28" s="29">
        <f t="shared" si="1"/>
        <v>100</v>
      </c>
      <c r="F28" s="29">
        <f t="shared" si="1"/>
        <v>100</v>
      </c>
      <c r="G28" s="29">
        <f t="shared" si="1"/>
        <v>100</v>
      </c>
      <c r="H28" s="29">
        <f t="shared" si="1"/>
        <v>100</v>
      </c>
      <c r="I28" s="29">
        <f t="shared" si="1"/>
        <v>100</v>
      </c>
      <c r="J28" s="29">
        <f t="shared" si="1"/>
        <v>100</v>
      </c>
      <c r="K28" s="29">
        <f t="shared" si="1"/>
        <v>100</v>
      </c>
      <c r="L28" s="29">
        <f t="shared" si="1"/>
        <v>100</v>
      </c>
      <c r="M28" s="29">
        <f t="shared" si="1"/>
        <v>100</v>
      </c>
      <c r="N28" s="30">
        <f t="shared" si="1"/>
        <v>100</v>
      </c>
      <c r="O28" s="1"/>
      <c r="Q28" s="24"/>
      <c r="R28" s="323"/>
      <c r="S28" s="353"/>
      <c r="T28" s="353"/>
      <c r="U28" s="353"/>
      <c r="V28" s="353"/>
      <c r="W28" s="353"/>
      <c r="X28" s="353"/>
      <c r="Y28" s="22"/>
    </row>
    <row r="29" spans="2:26" x14ac:dyDescent="0.25">
      <c r="B29" s="23"/>
      <c r="C29" s="111">
        <v>2250</v>
      </c>
      <c r="D29" s="28">
        <f t="shared" si="1"/>
        <v>100</v>
      </c>
      <c r="E29" s="29">
        <f t="shared" si="1"/>
        <v>100</v>
      </c>
      <c r="F29" s="29">
        <f t="shared" si="1"/>
        <v>100</v>
      </c>
      <c r="G29" s="29">
        <f t="shared" si="1"/>
        <v>100</v>
      </c>
      <c r="H29" s="29">
        <f t="shared" si="1"/>
        <v>100</v>
      </c>
      <c r="I29" s="29">
        <f t="shared" si="1"/>
        <v>100</v>
      </c>
      <c r="J29" s="29">
        <f t="shared" si="1"/>
        <v>100</v>
      </c>
      <c r="K29" s="29">
        <f t="shared" si="1"/>
        <v>100</v>
      </c>
      <c r="L29" s="29">
        <f t="shared" si="1"/>
        <v>100</v>
      </c>
      <c r="M29" s="29">
        <f t="shared" si="1"/>
        <v>100</v>
      </c>
      <c r="N29" s="30">
        <f t="shared" si="1"/>
        <v>100</v>
      </c>
      <c r="O29" s="31"/>
      <c r="Q29" s="24"/>
      <c r="R29" s="323"/>
      <c r="S29" s="353"/>
      <c r="T29" s="353"/>
      <c r="U29" s="353"/>
      <c r="V29" s="353"/>
      <c r="W29" s="353"/>
      <c r="X29" s="353"/>
      <c r="Y29" s="22"/>
    </row>
    <row r="30" spans="2:26" x14ac:dyDescent="0.25">
      <c r="B30" s="23"/>
      <c r="C30" s="111">
        <v>2500</v>
      </c>
      <c r="D30" s="28">
        <f t="shared" si="1"/>
        <v>100</v>
      </c>
      <c r="E30" s="29">
        <f t="shared" si="1"/>
        <v>100</v>
      </c>
      <c r="F30" s="29">
        <f t="shared" si="1"/>
        <v>100</v>
      </c>
      <c r="G30" s="29">
        <f t="shared" si="1"/>
        <v>100</v>
      </c>
      <c r="H30" s="29">
        <f t="shared" si="1"/>
        <v>100</v>
      </c>
      <c r="I30" s="29">
        <f t="shared" si="1"/>
        <v>100</v>
      </c>
      <c r="J30" s="29">
        <f t="shared" si="1"/>
        <v>100</v>
      </c>
      <c r="K30" s="29">
        <f t="shared" si="1"/>
        <v>100</v>
      </c>
      <c r="L30" s="29">
        <f t="shared" si="1"/>
        <v>100</v>
      </c>
      <c r="M30" s="29">
        <f t="shared" si="1"/>
        <v>100</v>
      </c>
      <c r="N30" s="30">
        <f t="shared" si="1"/>
        <v>100</v>
      </c>
      <c r="O30" s="1"/>
      <c r="Q30" s="24"/>
      <c r="R30" s="326" t="s">
        <v>0</v>
      </c>
      <c r="S30" s="353"/>
      <c r="T30" s="353"/>
      <c r="U30" s="353"/>
      <c r="V30" s="353"/>
      <c r="W30" s="353"/>
      <c r="X30" s="353"/>
      <c r="Y30" s="22"/>
    </row>
    <row r="31" spans="2:26" x14ac:dyDescent="0.25">
      <c r="B31" s="23"/>
      <c r="C31" s="111">
        <v>2750</v>
      </c>
      <c r="D31" s="28">
        <f t="shared" si="1"/>
        <v>100</v>
      </c>
      <c r="E31" s="29">
        <f t="shared" si="1"/>
        <v>100</v>
      </c>
      <c r="F31" s="29">
        <f t="shared" si="1"/>
        <v>100</v>
      </c>
      <c r="G31" s="29">
        <f t="shared" si="1"/>
        <v>100</v>
      </c>
      <c r="H31" s="29">
        <f t="shared" si="1"/>
        <v>100</v>
      </c>
      <c r="I31" s="29">
        <f t="shared" si="1"/>
        <v>100</v>
      </c>
      <c r="J31" s="29">
        <f t="shared" si="1"/>
        <v>100</v>
      </c>
      <c r="K31" s="29">
        <f t="shared" si="1"/>
        <v>100</v>
      </c>
      <c r="L31" s="29">
        <f t="shared" si="1"/>
        <v>100</v>
      </c>
      <c r="M31" s="29">
        <f t="shared" si="1"/>
        <v>100</v>
      </c>
      <c r="N31" s="30">
        <f t="shared" si="1"/>
        <v>100</v>
      </c>
      <c r="O31" s="1"/>
      <c r="Q31" s="24"/>
      <c r="R31" s="327"/>
      <c r="S31" s="328"/>
      <c r="T31" s="328"/>
      <c r="U31" s="328"/>
      <c r="V31" s="328"/>
      <c r="W31" s="328"/>
      <c r="X31" s="328"/>
      <c r="Y31" s="22"/>
    </row>
    <row r="32" spans="2:26" x14ac:dyDescent="0.25">
      <c r="B32" s="23"/>
      <c r="C32" s="111">
        <v>3000</v>
      </c>
      <c r="D32" s="28">
        <f t="shared" si="1"/>
        <v>100</v>
      </c>
      <c r="E32" s="29">
        <f t="shared" si="1"/>
        <v>100</v>
      </c>
      <c r="F32" s="29">
        <f t="shared" si="1"/>
        <v>100</v>
      </c>
      <c r="G32" s="29">
        <f t="shared" si="1"/>
        <v>100</v>
      </c>
      <c r="H32" s="29">
        <f t="shared" si="1"/>
        <v>100</v>
      </c>
      <c r="I32" s="29">
        <f t="shared" si="1"/>
        <v>100</v>
      </c>
      <c r="J32" s="29">
        <f t="shared" si="1"/>
        <v>100</v>
      </c>
      <c r="K32" s="29">
        <f t="shared" si="1"/>
        <v>100</v>
      </c>
      <c r="L32" s="29">
        <f t="shared" si="1"/>
        <v>100</v>
      </c>
      <c r="M32" s="29">
        <f t="shared" si="1"/>
        <v>100</v>
      </c>
      <c r="N32" s="30">
        <f t="shared" si="1"/>
        <v>100</v>
      </c>
      <c r="O32" s="1"/>
      <c r="Q32" s="22"/>
      <c r="R32" s="22"/>
      <c r="S32" s="22"/>
      <c r="T32" s="22"/>
      <c r="U32" s="22"/>
      <c r="V32" s="22"/>
      <c r="W32" s="22"/>
      <c r="X32" s="22"/>
      <c r="Y32" s="22"/>
    </row>
    <row r="33" spans="2:104" x14ac:dyDescent="0.25">
      <c r="B33" s="23"/>
      <c r="C33" s="111">
        <v>3500</v>
      </c>
      <c r="D33" s="28">
        <f t="shared" si="1"/>
        <v>100</v>
      </c>
      <c r="E33" s="29">
        <f t="shared" si="1"/>
        <v>100</v>
      </c>
      <c r="F33" s="29">
        <f t="shared" si="1"/>
        <v>100</v>
      </c>
      <c r="G33" s="29">
        <f t="shared" si="1"/>
        <v>100</v>
      </c>
      <c r="H33" s="29">
        <f t="shared" si="1"/>
        <v>100</v>
      </c>
      <c r="I33" s="29">
        <f t="shared" si="1"/>
        <v>100</v>
      </c>
      <c r="J33" s="29">
        <f t="shared" si="1"/>
        <v>100</v>
      </c>
      <c r="K33" s="29">
        <f t="shared" si="1"/>
        <v>100</v>
      </c>
      <c r="L33" s="29">
        <f t="shared" si="1"/>
        <v>100</v>
      </c>
      <c r="M33" s="29">
        <f t="shared" si="1"/>
        <v>100</v>
      </c>
      <c r="N33" s="30">
        <f t="shared" si="1"/>
        <v>100</v>
      </c>
      <c r="O33" s="1"/>
      <c r="Q33" s="22"/>
      <c r="R33" s="102"/>
      <c r="S33" s="32" t="s">
        <v>2</v>
      </c>
      <c r="T33" s="330" t="s">
        <v>1</v>
      </c>
      <c r="U33" s="330"/>
      <c r="V33" s="330"/>
      <c r="W33" s="330"/>
      <c r="X33" s="330"/>
      <c r="Y33" s="22"/>
    </row>
    <row r="34" spans="2:104" x14ac:dyDescent="0.25">
      <c r="B34" s="23"/>
      <c r="C34" s="111">
        <v>4000</v>
      </c>
      <c r="D34" s="28">
        <f t="shared" si="1"/>
        <v>100</v>
      </c>
      <c r="E34" s="29">
        <f t="shared" si="1"/>
        <v>100</v>
      </c>
      <c r="F34" s="29">
        <f t="shared" si="1"/>
        <v>100</v>
      </c>
      <c r="G34" s="29">
        <f t="shared" si="1"/>
        <v>100</v>
      </c>
      <c r="H34" s="29">
        <f t="shared" si="1"/>
        <v>100</v>
      </c>
      <c r="I34" s="29">
        <f t="shared" si="1"/>
        <v>100</v>
      </c>
      <c r="J34" s="29">
        <f t="shared" si="1"/>
        <v>100</v>
      </c>
      <c r="K34" s="29">
        <f t="shared" si="1"/>
        <v>100</v>
      </c>
      <c r="L34" s="29">
        <f t="shared" si="1"/>
        <v>100</v>
      </c>
      <c r="M34" s="29">
        <f t="shared" si="1"/>
        <v>100</v>
      </c>
      <c r="N34" s="30">
        <f t="shared" si="1"/>
        <v>100</v>
      </c>
      <c r="O34" s="1"/>
      <c r="Q34" s="22"/>
      <c r="R34" s="22"/>
      <c r="S34" s="22"/>
      <c r="T34" s="22"/>
      <c r="U34" s="22"/>
      <c r="V34" s="22"/>
      <c r="W34" s="22"/>
      <c r="X34" s="22"/>
      <c r="Y34" s="1"/>
    </row>
    <row r="35" spans="2:104" x14ac:dyDescent="0.25">
      <c r="B35" s="23"/>
      <c r="C35" s="111">
        <v>4500</v>
      </c>
      <c r="D35" s="28">
        <f t="shared" si="1"/>
        <v>100</v>
      </c>
      <c r="E35" s="29">
        <f t="shared" si="1"/>
        <v>100</v>
      </c>
      <c r="F35" s="29">
        <f t="shared" si="1"/>
        <v>100</v>
      </c>
      <c r="G35" s="29">
        <f t="shared" si="1"/>
        <v>100</v>
      </c>
      <c r="H35" s="29">
        <f t="shared" si="1"/>
        <v>100</v>
      </c>
      <c r="I35" s="29">
        <f t="shared" si="1"/>
        <v>100</v>
      </c>
      <c r="J35" s="29">
        <f t="shared" si="1"/>
        <v>100</v>
      </c>
      <c r="K35" s="29">
        <f t="shared" si="1"/>
        <v>100</v>
      </c>
      <c r="L35" s="29">
        <f t="shared" si="1"/>
        <v>100</v>
      </c>
      <c r="M35" s="29">
        <f t="shared" si="1"/>
        <v>100</v>
      </c>
      <c r="N35" s="30">
        <f t="shared" si="1"/>
        <v>100</v>
      </c>
      <c r="O35" s="1"/>
    </row>
    <row r="36" spans="2:104" x14ac:dyDescent="0.25">
      <c r="B36" s="23"/>
      <c r="C36" s="111">
        <v>5000</v>
      </c>
      <c r="D36" s="28">
        <f t="shared" si="1"/>
        <v>100</v>
      </c>
      <c r="E36" s="29">
        <f t="shared" si="1"/>
        <v>100</v>
      </c>
      <c r="F36" s="29">
        <f t="shared" si="1"/>
        <v>100</v>
      </c>
      <c r="G36" s="29">
        <f t="shared" si="1"/>
        <v>100</v>
      </c>
      <c r="H36" s="29">
        <f t="shared" si="1"/>
        <v>100</v>
      </c>
      <c r="I36" s="29">
        <f t="shared" si="1"/>
        <v>100</v>
      </c>
      <c r="J36" s="29">
        <f t="shared" si="1"/>
        <v>100</v>
      </c>
      <c r="K36" s="29">
        <f t="shared" si="1"/>
        <v>100</v>
      </c>
      <c r="L36" s="29">
        <f t="shared" si="1"/>
        <v>100</v>
      </c>
      <c r="M36" s="29">
        <f t="shared" si="1"/>
        <v>100</v>
      </c>
      <c r="N36" s="30">
        <f t="shared" si="1"/>
        <v>100</v>
      </c>
      <c r="O36" s="1"/>
    </row>
    <row r="37" spans="2:104" x14ac:dyDescent="0.25">
      <c r="B37" s="23"/>
      <c r="C37" s="111">
        <v>5500</v>
      </c>
      <c r="D37" s="28">
        <f t="shared" si="1"/>
        <v>100</v>
      </c>
      <c r="E37" s="29">
        <f t="shared" si="1"/>
        <v>100</v>
      </c>
      <c r="F37" s="29">
        <f t="shared" si="1"/>
        <v>100</v>
      </c>
      <c r="G37" s="29">
        <f t="shared" si="1"/>
        <v>100</v>
      </c>
      <c r="H37" s="29">
        <f t="shared" si="1"/>
        <v>100</v>
      </c>
      <c r="I37" s="29">
        <f t="shared" si="1"/>
        <v>100</v>
      </c>
      <c r="J37" s="29">
        <f t="shared" si="1"/>
        <v>100</v>
      </c>
      <c r="K37" s="29">
        <f t="shared" si="1"/>
        <v>100</v>
      </c>
      <c r="L37" s="29">
        <f t="shared" si="1"/>
        <v>100</v>
      </c>
      <c r="M37" s="29">
        <f t="shared" si="1"/>
        <v>100</v>
      </c>
      <c r="N37" s="30">
        <f t="shared" si="1"/>
        <v>100</v>
      </c>
      <c r="O37" s="1"/>
    </row>
    <row r="38" spans="2:104" x14ac:dyDescent="0.25">
      <c r="B38" s="23"/>
      <c r="C38" s="111">
        <v>6000</v>
      </c>
      <c r="D38" s="28">
        <f t="shared" si="1"/>
        <v>100</v>
      </c>
      <c r="E38" s="29">
        <f t="shared" si="1"/>
        <v>100</v>
      </c>
      <c r="F38" s="29">
        <f t="shared" si="1"/>
        <v>100</v>
      </c>
      <c r="G38" s="29">
        <f t="shared" si="1"/>
        <v>100</v>
      </c>
      <c r="H38" s="29">
        <f t="shared" si="1"/>
        <v>100</v>
      </c>
      <c r="I38" s="29">
        <f t="shared" si="1"/>
        <v>100</v>
      </c>
      <c r="J38" s="29">
        <f t="shared" si="1"/>
        <v>100</v>
      </c>
      <c r="K38" s="29">
        <f t="shared" si="1"/>
        <v>100</v>
      </c>
      <c r="L38" s="29">
        <f t="shared" si="1"/>
        <v>100</v>
      </c>
      <c r="M38" s="29">
        <f t="shared" si="1"/>
        <v>100</v>
      </c>
      <c r="N38" s="30">
        <f t="shared" si="1"/>
        <v>100</v>
      </c>
      <c r="O38" s="1"/>
      <c r="R38" s="18"/>
      <c r="S38" s="18"/>
    </row>
    <row r="39" spans="2:104" ht="15.75" thickBot="1" x14ac:dyDescent="0.3">
      <c r="B39" s="23"/>
      <c r="C39" s="112">
        <v>6500</v>
      </c>
      <c r="D39" s="33">
        <f t="shared" si="1"/>
        <v>100</v>
      </c>
      <c r="E39" s="34">
        <f t="shared" si="1"/>
        <v>100</v>
      </c>
      <c r="F39" s="34">
        <f t="shared" si="1"/>
        <v>100</v>
      </c>
      <c r="G39" s="34">
        <f t="shared" si="1"/>
        <v>100</v>
      </c>
      <c r="H39" s="34">
        <f t="shared" si="1"/>
        <v>100</v>
      </c>
      <c r="I39" s="34">
        <f t="shared" si="1"/>
        <v>100</v>
      </c>
      <c r="J39" s="34">
        <f t="shared" si="1"/>
        <v>100</v>
      </c>
      <c r="K39" s="34">
        <f t="shared" si="1"/>
        <v>100</v>
      </c>
      <c r="L39" s="34">
        <f t="shared" si="1"/>
        <v>100</v>
      </c>
      <c r="M39" s="34">
        <f t="shared" si="1"/>
        <v>100</v>
      </c>
      <c r="N39" s="35">
        <f t="shared" si="1"/>
        <v>100</v>
      </c>
      <c r="O39" s="1"/>
    </row>
    <row r="40" spans="2:104" ht="15.75" customHeight="1" thickTop="1" x14ac:dyDescent="0.2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</row>
    <row r="42" spans="2:104" ht="31.5" hidden="1" customHeight="1" thickBot="1" x14ac:dyDescent="0.3">
      <c r="B42" s="375" t="s">
        <v>20</v>
      </c>
      <c r="C42" s="376"/>
      <c r="D42" s="376"/>
      <c r="E42" s="376"/>
      <c r="F42" s="376"/>
      <c r="G42" s="376"/>
      <c r="H42" s="376"/>
      <c r="I42" s="376"/>
      <c r="J42" s="376"/>
      <c r="K42" s="376"/>
      <c r="L42" s="376"/>
      <c r="M42" s="376"/>
      <c r="N42" s="376"/>
      <c r="O42" s="376"/>
      <c r="P42" s="376"/>
      <c r="Q42" s="376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</row>
    <row r="43" spans="2:104" ht="27.75" hidden="1" customHeight="1" thickTop="1" thickBot="1" x14ac:dyDescent="0.3">
      <c r="B43" s="1"/>
      <c r="C43" s="80" t="s">
        <v>16</v>
      </c>
      <c r="D43" s="79">
        <v>0</v>
      </c>
      <c r="E43" s="3">
        <v>1</v>
      </c>
      <c r="F43" s="3">
        <v>2</v>
      </c>
      <c r="G43" s="3">
        <v>3</v>
      </c>
      <c r="H43" s="3">
        <v>4</v>
      </c>
      <c r="I43" s="3">
        <v>5</v>
      </c>
      <c r="J43" s="3">
        <v>6</v>
      </c>
      <c r="K43" s="3">
        <v>7</v>
      </c>
      <c r="L43" s="3">
        <v>8</v>
      </c>
      <c r="M43" s="3">
        <v>9</v>
      </c>
      <c r="N43" s="3">
        <v>10</v>
      </c>
      <c r="O43" s="3">
        <v>11</v>
      </c>
      <c r="P43" s="3">
        <v>12</v>
      </c>
      <c r="Q43" s="3">
        <v>13</v>
      </c>
      <c r="R43" s="3">
        <v>14</v>
      </c>
      <c r="S43" s="3">
        <v>15</v>
      </c>
      <c r="T43" s="3">
        <v>16</v>
      </c>
      <c r="U43" s="3">
        <v>17</v>
      </c>
      <c r="V43" s="3">
        <v>18</v>
      </c>
      <c r="W43" s="3">
        <v>19</v>
      </c>
      <c r="X43" s="3">
        <v>20</v>
      </c>
      <c r="Y43" s="3">
        <v>21</v>
      </c>
      <c r="Z43" s="3">
        <v>22</v>
      </c>
      <c r="AA43" s="3">
        <v>23</v>
      </c>
      <c r="AB43" s="3">
        <v>24</v>
      </c>
      <c r="AC43" s="3">
        <v>25</v>
      </c>
      <c r="AD43" s="3">
        <v>26</v>
      </c>
      <c r="AE43" s="3">
        <v>27</v>
      </c>
      <c r="AF43" s="3">
        <v>28</v>
      </c>
      <c r="AG43" s="3">
        <v>29</v>
      </c>
      <c r="AH43" s="3">
        <v>30</v>
      </c>
      <c r="AI43" s="3">
        <v>31</v>
      </c>
      <c r="AJ43" s="3">
        <v>32</v>
      </c>
      <c r="AK43" s="3">
        <v>33</v>
      </c>
      <c r="AL43" s="3">
        <v>34</v>
      </c>
      <c r="AM43" s="3">
        <v>35</v>
      </c>
      <c r="AN43" s="3">
        <v>36</v>
      </c>
      <c r="AO43" s="3">
        <v>37</v>
      </c>
      <c r="AP43" s="3">
        <v>38</v>
      </c>
      <c r="AQ43" s="3">
        <v>39</v>
      </c>
      <c r="AR43" s="3">
        <v>40</v>
      </c>
      <c r="AS43" s="3">
        <v>41</v>
      </c>
      <c r="AT43" s="3">
        <v>42</v>
      </c>
      <c r="AU43" s="3">
        <v>43</v>
      </c>
      <c r="AV43" s="3">
        <v>44</v>
      </c>
      <c r="AW43" s="3">
        <v>45</v>
      </c>
      <c r="AX43" s="3">
        <v>46</v>
      </c>
      <c r="AY43" s="3">
        <v>47</v>
      </c>
      <c r="AZ43" s="3">
        <v>48</v>
      </c>
      <c r="BA43" s="3">
        <v>49</v>
      </c>
      <c r="BB43" s="3">
        <v>50</v>
      </c>
      <c r="BC43" s="3">
        <v>51</v>
      </c>
      <c r="BD43" s="3">
        <v>52</v>
      </c>
      <c r="BE43" s="3">
        <v>53</v>
      </c>
      <c r="BF43" s="3">
        <v>54</v>
      </c>
      <c r="BG43" s="3">
        <v>55</v>
      </c>
      <c r="BH43" s="3">
        <v>56</v>
      </c>
      <c r="BI43" s="3">
        <v>57</v>
      </c>
      <c r="BJ43" s="3">
        <v>58</v>
      </c>
      <c r="BK43" s="3">
        <v>59</v>
      </c>
      <c r="BL43" s="3">
        <v>60</v>
      </c>
      <c r="BM43" s="3">
        <v>61</v>
      </c>
      <c r="BN43" s="3">
        <v>62</v>
      </c>
      <c r="BO43" s="3">
        <v>63</v>
      </c>
      <c r="BP43" s="3">
        <v>64</v>
      </c>
      <c r="BQ43" s="3">
        <v>65</v>
      </c>
      <c r="BR43" s="3">
        <v>66</v>
      </c>
      <c r="BS43" s="3">
        <v>67</v>
      </c>
      <c r="BT43" s="3">
        <v>68</v>
      </c>
      <c r="BU43" s="3">
        <v>69</v>
      </c>
      <c r="BV43" s="3">
        <v>70</v>
      </c>
      <c r="BW43" s="3">
        <v>71</v>
      </c>
      <c r="BX43" s="3">
        <v>72</v>
      </c>
      <c r="BY43" s="3">
        <v>73</v>
      </c>
      <c r="BZ43" s="3">
        <v>74</v>
      </c>
      <c r="CA43" s="3">
        <v>75</v>
      </c>
      <c r="CB43" s="3">
        <v>76</v>
      </c>
      <c r="CC43" s="3">
        <v>77</v>
      </c>
      <c r="CD43" s="3">
        <v>78</v>
      </c>
      <c r="CE43" s="3">
        <v>79</v>
      </c>
      <c r="CF43" s="3">
        <v>80</v>
      </c>
      <c r="CG43" s="3">
        <v>81</v>
      </c>
      <c r="CH43" s="3">
        <v>82</v>
      </c>
      <c r="CI43" s="3">
        <v>83</v>
      </c>
      <c r="CJ43" s="3">
        <v>84</v>
      </c>
      <c r="CK43" s="3">
        <v>85</v>
      </c>
      <c r="CL43" s="3">
        <v>86</v>
      </c>
      <c r="CM43" s="3">
        <v>87</v>
      </c>
      <c r="CN43" s="3">
        <v>88</v>
      </c>
      <c r="CO43" s="3">
        <v>89</v>
      </c>
      <c r="CP43" s="3">
        <v>90</v>
      </c>
      <c r="CQ43" s="3">
        <v>91</v>
      </c>
      <c r="CR43" s="3">
        <v>92</v>
      </c>
      <c r="CS43" s="3">
        <v>93</v>
      </c>
      <c r="CT43" s="3">
        <v>94</v>
      </c>
      <c r="CU43" s="3">
        <v>95</v>
      </c>
      <c r="CV43" s="3">
        <v>96</v>
      </c>
      <c r="CW43" s="3">
        <v>97</v>
      </c>
      <c r="CX43" s="3">
        <v>98</v>
      </c>
      <c r="CY43" s="4">
        <v>99</v>
      </c>
      <c r="CZ43" s="1"/>
    </row>
    <row r="44" spans="2:104" ht="15.75" hidden="1" thickTop="1" x14ac:dyDescent="0.25">
      <c r="B44" s="58"/>
      <c r="C44" s="5">
        <f>C24</f>
        <v>1000</v>
      </c>
      <c r="D44" s="84">
        <v>0</v>
      </c>
      <c r="E44" s="85">
        <f t="shared" ref="E44:E59" si="2">$D44+($N44-$D44)/10*1</f>
        <v>0</v>
      </c>
      <c r="F44" s="85">
        <f t="shared" ref="F44:F59" si="3">$D44+($N44-$D44)/10*2</f>
        <v>0</v>
      </c>
      <c r="G44" s="85">
        <f t="shared" ref="G44:G59" si="4">$D44+($N44-$D44)/10*3</f>
        <v>0</v>
      </c>
      <c r="H44" s="85">
        <f t="shared" ref="H44:H59" si="5">$D44+($N44-$D44)/10*4</f>
        <v>0</v>
      </c>
      <c r="I44" s="84">
        <f t="shared" ref="I44:I59" si="6">$D44+($N44-$D44)/10*5</f>
        <v>0</v>
      </c>
      <c r="J44" s="85">
        <f t="shared" ref="J44:J59" si="7">$D44+($N44-$D44)/10*6</f>
        <v>0</v>
      </c>
      <c r="K44" s="85">
        <f t="shared" ref="K44:K59" si="8">$D44+($N44-$D44)/10*7</f>
        <v>0</v>
      </c>
      <c r="L44" s="85">
        <f t="shared" ref="L44:L59" si="9">$D44+($N44-$D44)/10*8</f>
        <v>0</v>
      </c>
      <c r="M44" s="85">
        <f t="shared" ref="M44:M59" si="10">$D44+($N44-$D44)/10*9</f>
        <v>0</v>
      </c>
      <c r="N44" s="84">
        <v>0</v>
      </c>
      <c r="O44" s="85">
        <f t="shared" ref="O44:O59" si="11">$N44+($S44-$N44)/5*1</f>
        <v>0</v>
      </c>
      <c r="P44" s="85">
        <f t="shared" ref="P44:P59" si="12">$N44+($S44-$N44)/5*2</f>
        <v>0</v>
      </c>
      <c r="Q44" s="85">
        <f t="shared" ref="Q44:Q59" si="13">$N44+($S44-$N44)/5*3</f>
        <v>0</v>
      </c>
      <c r="R44" s="85">
        <f t="shared" ref="R44:R59" si="14">$N44+($S44-$N44)/5*4</f>
        <v>0</v>
      </c>
      <c r="S44" s="84">
        <v>0</v>
      </c>
      <c r="T44" s="85">
        <f t="shared" ref="T44:T59" si="15">$S44+($X44-$S44)/5*1</f>
        <v>0</v>
      </c>
      <c r="U44" s="85">
        <f t="shared" ref="U44:U59" si="16">$S44+($X44-$S44)/5*2</f>
        <v>0</v>
      </c>
      <c r="V44" s="85">
        <f t="shared" ref="V44:V59" si="17">$S44+($X44-$S44)/5*3</f>
        <v>0</v>
      </c>
      <c r="W44" s="85">
        <f t="shared" ref="W44:W59" si="18">$S44+($X44-$S44)/5*4</f>
        <v>0</v>
      </c>
      <c r="X44" s="84">
        <v>0</v>
      </c>
      <c r="Y44" s="85">
        <f t="shared" ref="Y44:Y59" si="19">$X44+($AH44-$X44)/10*1</f>
        <v>0</v>
      </c>
      <c r="Z44" s="85">
        <f t="shared" ref="Z44:Z59" si="20">$X44+($AH44-$X44)/10*2</f>
        <v>0</v>
      </c>
      <c r="AA44" s="85">
        <f t="shared" ref="AA44:AA59" si="21">$X44+($AH44-$X44)/10*3</f>
        <v>0</v>
      </c>
      <c r="AB44" s="85">
        <f t="shared" ref="AB44:AB59" si="22">$X44+($AH44-$X44)/10*4</f>
        <v>0</v>
      </c>
      <c r="AC44" s="84">
        <f t="shared" ref="AC44:AC59" si="23">$X44+($AH44-$X44)/10*5</f>
        <v>0</v>
      </c>
      <c r="AD44" s="85">
        <f t="shared" ref="AD44:AD59" si="24">$X44+($AH44-$X44)/10*6</f>
        <v>0</v>
      </c>
      <c r="AE44" s="85">
        <f t="shared" ref="AE44:AE59" si="25">$X44+($AH44-$X44)/10*7</f>
        <v>0</v>
      </c>
      <c r="AF44" s="85">
        <f t="shared" ref="AF44:AF59" si="26">$X44+($AH44-$X44)/10*8</f>
        <v>0</v>
      </c>
      <c r="AG44" s="85">
        <f t="shared" ref="AG44:AG59" si="27">$X44+($AH44-$X44)/10*9</f>
        <v>0</v>
      </c>
      <c r="AH44" s="84">
        <v>0</v>
      </c>
      <c r="AI44" s="85">
        <f t="shared" ref="AI44:AI59" si="28">$AH44+($AR44-$AH44)/10*1</f>
        <v>0</v>
      </c>
      <c r="AJ44" s="85">
        <f t="shared" ref="AJ44:AJ59" si="29">$AH44+($AR44-$AH44)/10*2</f>
        <v>0</v>
      </c>
      <c r="AK44" s="85">
        <f t="shared" ref="AK44:AK59" si="30">$AH44+($AR44-$AH44)/10*3</f>
        <v>0</v>
      </c>
      <c r="AL44" s="85">
        <f t="shared" ref="AL44:AL59" si="31">$AH44+($AR44-$AH44)/10*4</f>
        <v>0</v>
      </c>
      <c r="AM44" s="84">
        <f t="shared" ref="AM44:AM59" si="32">$AH44+($AR44-$AH44)/10*5</f>
        <v>0</v>
      </c>
      <c r="AN44" s="85">
        <f t="shared" ref="AN44:AN59" si="33">$AH44+($AR44-$AH44)/10*6</f>
        <v>0</v>
      </c>
      <c r="AO44" s="85">
        <f t="shared" ref="AO44:AO59" si="34">$AH44+($AR44-$AH44)/10*7</f>
        <v>0</v>
      </c>
      <c r="AP44" s="85">
        <f t="shared" ref="AP44:AP59" si="35">$AH44+($AR44-$AH44)/10*8</f>
        <v>0</v>
      </c>
      <c r="AQ44" s="85">
        <f t="shared" ref="AQ44:AQ59" si="36">$AH44+($AR44-$AH44)/10*9</f>
        <v>0</v>
      </c>
      <c r="AR44" s="84">
        <v>0</v>
      </c>
      <c r="AS44" s="85">
        <f t="shared" ref="AS44:AS59" si="37">$AR44+($BB44-$AR44)/10*1</f>
        <v>0</v>
      </c>
      <c r="AT44" s="85">
        <f t="shared" ref="AT44:AT59" si="38">$AR44+($BB44-$AR44)/10*2</f>
        <v>0</v>
      </c>
      <c r="AU44" s="85">
        <f t="shared" ref="AU44:AU59" si="39">$AR44+($BB44-$AR44)/10*3</f>
        <v>0</v>
      </c>
      <c r="AV44" s="85">
        <f t="shared" ref="AV44:AV59" si="40">$AR44+($BB44-$AR44)/10*4</f>
        <v>0</v>
      </c>
      <c r="AW44" s="85">
        <f t="shared" ref="AW44:AW59" si="41">$AR44+($BB44-$AR44)/10*5</f>
        <v>0</v>
      </c>
      <c r="AX44" s="85">
        <f t="shared" ref="AX44:AX59" si="42">$AR44+($BB44-$AR44)/10*6</f>
        <v>0</v>
      </c>
      <c r="AY44" s="85">
        <f t="shared" ref="AY44:AY59" si="43">$AR44+($BB44-$AR44)/10*7</f>
        <v>0</v>
      </c>
      <c r="AZ44" s="85">
        <f t="shared" ref="AZ44:AZ59" si="44">$AR44+($BB44-$AR44)/10*8</f>
        <v>0</v>
      </c>
      <c r="BA44" s="85">
        <f t="shared" ref="BA44:BA59" si="45">$AR44+($BB44-$AR44)/10*9</f>
        <v>0</v>
      </c>
      <c r="BB44" s="84">
        <v>0</v>
      </c>
      <c r="BC44" s="85">
        <f t="shared" ref="BC44:BC59" si="46">$BB44+($BL44-$BB44)/10*1</f>
        <v>0</v>
      </c>
      <c r="BD44" s="85">
        <f t="shared" ref="BD44:BD59" si="47">$BB44+($BL44-$BB44)/10*2</f>
        <v>0</v>
      </c>
      <c r="BE44" s="85">
        <f t="shared" ref="BE44:BE59" si="48">$BB44+($BL44-$BB44)/10*3</f>
        <v>0</v>
      </c>
      <c r="BF44" s="85">
        <f t="shared" ref="BF44:BF59" si="49">$BB44+($BL44-$BB44)/10*4</f>
        <v>0</v>
      </c>
      <c r="BG44" s="85">
        <f t="shared" ref="BG44:BG59" si="50">$BB44+($BL44-$BB44)/10*5</f>
        <v>0</v>
      </c>
      <c r="BH44" s="85">
        <f t="shared" ref="BH44:BH59" si="51">$BB44+($BL44-$BB44)/10*6</f>
        <v>0</v>
      </c>
      <c r="BI44" s="85">
        <f t="shared" ref="BI44:BI59" si="52">$BB44+($BL44-$BB44)/10*7</f>
        <v>0</v>
      </c>
      <c r="BJ44" s="85">
        <f t="shared" ref="BJ44:BJ59" si="53">$BB44+($BL44-$BB44)/10*8</f>
        <v>0</v>
      </c>
      <c r="BK44" s="85">
        <f t="shared" ref="BK44:BK59" si="54">$BB44+($BL44-$BB44)/10*9</f>
        <v>0</v>
      </c>
      <c r="BL44" s="84">
        <v>0</v>
      </c>
      <c r="BM44" s="85">
        <f t="shared" ref="BM44:BM59" si="55">$BL44+($BV44-$BL44)/10*1</f>
        <v>0</v>
      </c>
      <c r="BN44" s="85">
        <f t="shared" ref="BN44:BN59" si="56">$BL44+($BV44-$BL44)/10*2</f>
        <v>0</v>
      </c>
      <c r="BO44" s="85">
        <f t="shared" ref="BO44:BO59" si="57">$BL44+($BV44-$BL44)/10*3</f>
        <v>0</v>
      </c>
      <c r="BP44" s="85">
        <f t="shared" ref="BP44:BP59" si="58">$BL44+($BV44-$BL44)/10*4</f>
        <v>0</v>
      </c>
      <c r="BQ44" s="85">
        <f t="shared" ref="BQ44:BQ59" si="59">$BL44+($BV44-$BL44)/10*5</f>
        <v>0</v>
      </c>
      <c r="BR44" s="85">
        <f t="shared" ref="BR44:BR59" si="60">$BL44+($BV44-$BL44)/10*6</f>
        <v>0</v>
      </c>
      <c r="BS44" s="85">
        <f t="shared" ref="BS44:BS59" si="61">$BL44+($BV44-$BL44)/10*7</f>
        <v>0</v>
      </c>
      <c r="BT44" s="85">
        <f t="shared" ref="BT44:BT59" si="62">$BL44+($BV44-$BL44)/10*8</f>
        <v>0</v>
      </c>
      <c r="BU44" s="85">
        <f t="shared" ref="BU44:BU59" si="63">$BL44+($BV44-$BL44)/10*9</f>
        <v>0</v>
      </c>
      <c r="BV44" s="84">
        <v>0</v>
      </c>
      <c r="BW44" s="85">
        <f t="shared" ref="BW44:BW59" si="64">$BV44+($CF44-$BV44)/10*1</f>
        <v>0</v>
      </c>
      <c r="BX44" s="85">
        <f t="shared" ref="BX44:BX59" si="65">$BV44+($CF44-$BV44)/10*2</f>
        <v>0</v>
      </c>
      <c r="BY44" s="85">
        <f t="shared" ref="BY44:BY59" si="66">$BV44+($CF44-$BV44)/10*3</f>
        <v>0</v>
      </c>
      <c r="BZ44" s="85">
        <f t="shared" ref="BZ44:BZ59" si="67">$BV44+($CF44-$BV44)/10*4</f>
        <v>0</v>
      </c>
      <c r="CA44" s="84">
        <f t="shared" ref="CA44:CA59" si="68">$BV44+($CF44-$BV44)/10*5</f>
        <v>0</v>
      </c>
      <c r="CB44" s="85">
        <f t="shared" ref="CB44:CB59" si="69">$BV44+($CF44-$BV44)/10*6</f>
        <v>0</v>
      </c>
      <c r="CC44" s="85">
        <f t="shared" ref="CC44:CC59" si="70">$BV44+($CF44-$BV44)/10*7</f>
        <v>0</v>
      </c>
      <c r="CD44" s="85">
        <f t="shared" ref="CD44:CD59" si="71">$BV44+($CF44-$BV44)/10*8</f>
        <v>0</v>
      </c>
      <c r="CE44" s="85">
        <f t="shared" ref="CE44:CE59" si="72">$BV44+($CF44-$BV44)/10*9</f>
        <v>0</v>
      </c>
      <c r="CF44" s="84">
        <v>0</v>
      </c>
      <c r="CG44" s="85">
        <f t="shared" ref="CG44:CG59" si="73">$CF44+($CP44-$CF44)/10*1</f>
        <v>0</v>
      </c>
      <c r="CH44" s="85">
        <f t="shared" ref="CH44:CH59" si="74">$CF44+($CP44-$CF44)/10*2</f>
        <v>0</v>
      </c>
      <c r="CI44" s="85">
        <f t="shared" ref="CI44:CI59" si="75">$CF44+($CP44-$CF44)/10*3</f>
        <v>0</v>
      </c>
      <c r="CJ44" s="85">
        <f t="shared" ref="CJ44:CJ59" si="76">$CF44+($CP44-$CF44)/10*4</f>
        <v>0</v>
      </c>
      <c r="CK44" s="84">
        <f t="shared" ref="CK44:CK59" si="77">$CF44+($CP44-$CF44)/10*5</f>
        <v>0</v>
      </c>
      <c r="CL44" s="85">
        <f t="shared" ref="CL44:CL59" si="78">$CF44+($CP44-$CF44)/10*6</f>
        <v>0</v>
      </c>
      <c r="CM44" s="85">
        <f t="shared" ref="CM44:CM59" si="79">$CF44+($CP44-$CF44)/10*7</f>
        <v>0</v>
      </c>
      <c r="CN44" s="85">
        <f t="shared" ref="CN44:CN59" si="80">$CF44+($CP44-$CF44)/10*8</f>
        <v>0</v>
      </c>
      <c r="CO44" s="85">
        <f t="shared" ref="CO44:CO59" si="81">$CF44+($CP44-$CF44)/10*9</f>
        <v>0</v>
      </c>
      <c r="CP44" s="85">
        <v>0</v>
      </c>
      <c r="CQ44" s="85">
        <f t="shared" ref="CQ44:CQ59" si="82">$CP44+($CY44-$CP44)/9*1</f>
        <v>0</v>
      </c>
      <c r="CR44" s="85">
        <f t="shared" ref="CR44:CR59" si="83">$CP44+($CY44-$CP44)/9*2</f>
        <v>0</v>
      </c>
      <c r="CS44" s="85">
        <f t="shared" ref="CS44:CS59" si="84">$CP44+($CY44-$CP44)/9*3</f>
        <v>0</v>
      </c>
      <c r="CT44" s="85">
        <f t="shared" ref="CT44:CT59" si="85">$CP44+($CY44-$CP44)/9*4</f>
        <v>0</v>
      </c>
      <c r="CU44" s="85">
        <f t="shared" ref="CU44:CU59" si="86">$CP44+($CY44-$CP44)/9*5</f>
        <v>0</v>
      </c>
      <c r="CV44" s="85">
        <f t="shared" ref="CV44:CV59" si="87">$CP44+($CY44-$CP44)/9*6</f>
        <v>0</v>
      </c>
      <c r="CW44" s="85">
        <f t="shared" ref="CW44:CW59" si="88">$CP44+($CY44-$CP44)/9*7</f>
        <v>0</v>
      </c>
      <c r="CX44" s="85">
        <f t="shared" ref="CX44:CX59" si="89">$CP44+($CY44-$CP44)/9*8</f>
        <v>0</v>
      </c>
      <c r="CY44" s="86">
        <v>0</v>
      </c>
      <c r="CZ44" s="1"/>
    </row>
    <row r="45" spans="2:104" hidden="1" x14ac:dyDescent="0.25">
      <c r="B45" s="58"/>
      <c r="C45" s="77">
        <f t="shared" ref="C45:C59" si="90">C25</f>
        <v>1250</v>
      </c>
      <c r="D45" s="87">
        <v>0</v>
      </c>
      <c r="E45" s="88">
        <f t="shared" si="2"/>
        <v>0</v>
      </c>
      <c r="F45" s="88">
        <f t="shared" si="3"/>
        <v>0</v>
      </c>
      <c r="G45" s="88">
        <f t="shared" si="4"/>
        <v>0</v>
      </c>
      <c r="H45" s="88">
        <f t="shared" si="5"/>
        <v>0</v>
      </c>
      <c r="I45" s="87">
        <f t="shared" si="6"/>
        <v>0</v>
      </c>
      <c r="J45" s="88">
        <f t="shared" si="7"/>
        <v>0</v>
      </c>
      <c r="K45" s="88">
        <f t="shared" si="8"/>
        <v>0</v>
      </c>
      <c r="L45" s="88">
        <f t="shared" si="9"/>
        <v>0</v>
      </c>
      <c r="M45" s="88">
        <f t="shared" si="10"/>
        <v>0</v>
      </c>
      <c r="N45" s="87">
        <v>0</v>
      </c>
      <c r="O45" s="88">
        <f t="shared" si="11"/>
        <v>0</v>
      </c>
      <c r="P45" s="88">
        <f t="shared" si="12"/>
        <v>0</v>
      </c>
      <c r="Q45" s="88">
        <f t="shared" si="13"/>
        <v>0</v>
      </c>
      <c r="R45" s="88">
        <f t="shared" si="14"/>
        <v>0</v>
      </c>
      <c r="S45" s="87">
        <v>0</v>
      </c>
      <c r="T45" s="88">
        <f t="shared" si="15"/>
        <v>0</v>
      </c>
      <c r="U45" s="88">
        <f t="shared" si="16"/>
        <v>0</v>
      </c>
      <c r="V45" s="88">
        <f t="shared" si="17"/>
        <v>0</v>
      </c>
      <c r="W45" s="88">
        <f t="shared" si="18"/>
        <v>0</v>
      </c>
      <c r="X45" s="87">
        <v>0</v>
      </c>
      <c r="Y45" s="88">
        <f t="shared" si="19"/>
        <v>0</v>
      </c>
      <c r="Z45" s="88">
        <f t="shared" si="20"/>
        <v>0</v>
      </c>
      <c r="AA45" s="88">
        <f t="shared" si="21"/>
        <v>0</v>
      </c>
      <c r="AB45" s="88">
        <f t="shared" si="22"/>
        <v>0</v>
      </c>
      <c r="AC45" s="87">
        <f t="shared" si="23"/>
        <v>0</v>
      </c>
      <c r="AD45" s="88">
        <f t="shared" si="24"/>
        <v>0</v>
      </c>
      <c r="AE45" s="88">
        <f t="shared" si="25"/>
        <v>0</v>
      </c>
      <c r="AF45" s="88">
        <f t="shared" si="26"/>
        <v>0</v>
      </c>
      <c r="AG45" s="88">
        <f t="shared" si="27"/>
        <v>0</v>
      </c>
      <c r="AH45" s="87">
        <v>0</v>
      </c>
      <c r="AI45" s="88">
        <f t="shared" si="28"/>
        <v>0</v>
      </c>
      <c r="AJ45" s="88">
        <f t="shared" si="29"/>
        <v>0</v>
      </c>
      <c r="AK45" s="88">
        <f t="shared" si="30"/>
        <v>0</v>
      </c>
      <c r="AL45" s="88">
        <f t="shared" si="31"/>
        <v>0</v>
      </c>
      <c r="AM45" s="87">
        <f t="shared" si="32"/>
        <v>0</v>
      </c>
      <c r="AN45" s="88">
        <f t="shared" si="33"/>
        <v>0</v>
      </c>
      <c r="AO45" s="88">
        <f t="shared" si="34"/>
        <v>0</v>
      </c>
      <c r="AP45" s="88">
        <f t="shared" si="35"/>
        <v>0</v>
      </c>
      <c r="AQ45" s="88">
        <f t="shared" si="36"/>
        <v>0</v>
      </c>
      <c r="AR45" s="87">
        <v>0</v>
      </c>
      <c r="AS45" s="88">
        <f t="shared" si="37"/>
        <v>0</v>
      </c>
      <c r="AT45" s="88">
        <f t="shared" si="38"/>
        <v>0</v>
      </c>
      <c r="AU45" s="88">
        <f t="shared" si="39"/>
        <v>0</v>
      </c>
      <c r="AV45" s="88">
        <f t="shared" si="40"/>
        <v>0</v>
      </c>
      <c r="AW45" s="88">
        <f t="shared" si="41"/>
        <v>0</v>
      </c>
      <c r="AX45" s="88">
        <f t="shared" si="42"/>
        <v>0</v>
      </c>
      <c r="AY45" s="88">
        <f t="shared" si="43"/>
        <v>0</v>
      </c>
      <c r="AZ45" s="88">
        <f t="shared" si="44"/>
        <v>0</v>
      </c>
      <c r="BA45" s="88">
        <f t="shared" si="45"/>
        <v>0</v>
      </c>
      <c r="BB45" s="87">
        <v>0</v>
      </c>
      <c r="BC45" s="88">
        <f t="shared" si="46"/>
        <v>0</v>
      </c>
      <c r="BD45" s="88">
        <f t="shared" si="47"/>
        <v>0</v>
      </c>
      <c r="BE45" s="88">
        <f t="shared" si="48"/>
        <v>0</v>
      </c>
      <c r="BF45" s="88">
        <f t="shared" si="49"/>
        <v>0</v>
      </c>
      <c r="BG45" s="88">
        <f t="shared" si="50"/>
        <v>0</v>
      </c>
      <c r="BH45" s="88">
        <f t="shared" si="51"/>
        <v>0</v>
      </c>
      <c r="BI45" s="88">
        <f t="shared" si="52"/>
        <v>0</v>
      </c>
      <c r="BJ45" s="88">
        <f t="shared" si="53"/>
        <v>0</v>
      </c>
      <c r="BK45" s="88">
        <f t="shared" si="54"/>
        <v>0</v>
      </c>
      <c r="BL45" s="87">
        <v>0</v>
      </c>
      <c r="BM45" s="88">
        <f t="shared" si="55"/>
        <v>0</v>
      </c>
      <c r="BN45" s="88">
        <f t="shared" si="56"/>
        <v>0</v>
      </c>
      <c r="BO45" s="88">
        <f t="shared" si="57"/>
        <v>0</v>
      </c>
      <c r="BP45" s="88">
        <f t="shared" si="58"/>
        <v>0</v>
      </c>
      <c r="BQ45" s="88">
        <f t="shared" si="59"/>
        <v>0</v>
      </c>
      <c r="BR45" s="88">
        <f t="shared" si="60"/>
        <v>0</v>
      </c>
      <c r="BS45" s="88">
        <f t="shared" si="61"/>
        <v>0</v>
      </c>
      <c r="BT45" s="88">
        <f t="shared" si="62"/>
        <v>0</v>
      </c>
      <c r="BU45" s="88">
        <f t="shared" si="63"/>
        <v>0</v>
      </c>
      <c r="BV45" s="87">
        <v>0</v>
      </c>
      <c r="BW45" s="88">
        <f t="shared" si="64"/>
        <v>0</v>
      </c>
      <c r="BX45" s="88">
        <f t="shared" si="65"/>
        <v>0</v>
      </c>
      <c r="BY45" s="88">
        <f t="shared" si="66"/>
        <v>0</v>
      </c>
      <c r="BZ45" s="88">
        <f t="shared" si="67"/>
        <v>0</v>
      </c>
      <c r="CA45" s="87">
        <f t="shared" si="68"/>
        <v>0</v>
      </c>
      <c r="CB45" s="88">
        <f t="shared" si="69"/>
        <v>0</v>
      </c>
      <c r="CC45" s="88">
        <f t="shared" si="70"/>
        <v>0</v>
      </c>
      <c r="CD45" s="88">
        <f t="shared" si="71"/>
        <v>0</v>
      </c>
      <c r="CE45" s="88">
        <f t="shared" si="72"/>
        <v>0</v>
      </c>
      <c r="CF45" s="87">
        <v>0</v>
      </c>
      <c r="CG45" s="88">
        <f t="shared" si="73"/>
        <v>0</v>
      </c>
      <c r="CH45" s="88">
        <f t="shared" si="74"/>
        <v>0</v>
      </c>
      <c r="CI45" s="88">
        <f t="shared" si="75"/>
        <v>0</v>
      </c>
      <c r="CJ45" s="88">
        <f t="shared" si="76"/>
        <v>0</v>
      </c>
      <c r="CK45" s="87">
        <f t="shared" si="77"/>
        <v>0</v>
      </c>
      <c r="CL45" s="88">
        <f t="shared" si="78"/>
        <v>0</v>
      </c>
      <c r="CM45" s="88">
        <f t="shared" si="79"/>
        <v>0</v>
      </c>
      <c r="CN45" s="88">
        <f t="shared" si="80"/>
        <v>0</v>
      </c>
      <c r="CO45" s="88">
        <f t="shared" si="81"/>
        <v>0</v>
      </c>
      <c r="CP45" s="88">
        <v>0</v>
      </c>
      <c r="CQ45" s="88">
        <f t="shared" si="82"/>
        <v>0</v>
      </c>
      <c r="CR45" s="88">
        <f t="shared" si="83"/>
        <v>0</v>
      </c>
      <c r="CS45" s="88">
        <f t="shared" si="84"/>
        <v>0</v>
      </c>
      <c r="CT45" s="88">
        <f t="shared" si="85"/>
        <v>0</v>
      </c>
      <c r="CU45" s="88">
        <f t="shared" si="86"/>
        <v>0</v>
      </c>
      <c r="CV45" s="88">
        <f t="shared" si="87"/>
        <v>0</v>
      </c>
      <c r="CW45" s="88">
        <f t="shared" si="88"/>
        <v>0</v>
      </c>
      <c r="CX45" s="88">
        <f t="shared" si="89"/>
        <v>0</v>
      </c>
      <c r="CY45" s="89">
        <v>0</v>
      </c>
      <c r="CZ45" s="1"/>
    </row>
    <row r="46" spans="2:104" hidden="1" x14ac:dyDescent="0.25">
      <c r="B46" s="58"/>
      <c r="C46" s="77">
        <f t="shared" si="90"/>
        <v>1500</v>
      </c>
      <c r="D46" s="87">
        <v>0</v>
      </c>
      <c r="E46" s="88">
        <f t="shared" si="2"/>
        <v>0</v>
      </c>
      <c r="F46" s="88">
        <f t="shared" si="3"/>
        <v>0</v>
      </c>
      <c r="G46" s="88">
        <f t="shared" si="4"/>
        <v>0</v>
      </c>
      <c r="H46" s="88">
        <f t="shared" si="5"/>
        <v>0</v>
      </c>
      <c r="I46" s="87">
        <f t="shared" si="6"/>
        <v>0</v>
      </c>
      <c r="J46" s="88">
        <f t="shared" si="7"/>
        <v>0</v>
      </c>
      <c r="K46" s="88">
        <f t="shared" si="8"/>
        <v>0</v>
      </c>
      <c r="L46" s="88">
        <f t="shared" si="9"/>
        <v>0</v>
      </c>
      <c r="M46" s="88">
        <f t="shared" si="10"/>
        <v>0</v>
      </c>
      <c r="N46" s="87">
        <v>0</v>
      </c>
      <c r="O46" s="88">
        <f t="shared" si="11"/>
        <v>0</v>
      </c>
      <c r="P46" s="88">
        <f t="shared" si="12"/>
        <v>0</v>
      </c>
      <c r="Q46" s="88">
        <f t="shared" si="13"/>
        <v>0</v>
      </c>
      <c r="R46" s="88">
        <f t="shared" si="14"/>
        <v>0</v>
      </c>
      <c r="S46" s="87">
        <v>0</v>
      </c>
      <c r="T46" s="88">
        <f t="shared" si="15"/>
        <v>0</v>
      </c>
      <c r="U46" s="88">
        <f t="shared" si="16"/>
        <v>0</v>
      </c>
      <c r="V46" s="88">
        <f t="shared" si="17"/>
        <v>0</v>
      </c>
      <c r="W46" s="88">
        <f t="shared" si="18"/>
        <v>0</v>
      </c>
      <c r="X46" s="87">
        <v>0</v>
      </c>
      <c r="Y46" s="88">
        <f t="shared" si="19"/>
        <v>0</v>
      </c>
      <c r="Z46" s="88">
        <f t="shared" si="20"/>
        <v>0</v>
      </c>
      <c r="AA46" s="88">
        <f t="shared" si="21"/>
        <v>0</v>
      </c>
      <c r="AB46" s="88">
        <f t="shared" si="22"/>
        <v>0</v>
      </c>
      <c r="AC46" s="87">
        <f t="shared" si="23"/>
        <v>0</v>
      </c>
      <c r="AD46" s="88">
        <f t="shared" si="24"/>
        <v>0</v>
      </c>
      <c r="AE46" s="88">
        <f t="shared" si="25"/>
        <v>0</v>
      </c>
      <c r="AF46" s="88">
        <f t="shared" si="26"/>
        <v>0</v>
      </c>
      <c r="AG46" s="88">
        <f t="shared" si="27"/>
        <v>0</v>
      </c>
      <c r="AH46" s="87">
        <v>0</v>
      </c>
      <c r="AI46" s="88">
        <f t="shared" si="28"/>
        <v>0</v>
      </c>
      <c r="AJ46" s="88">
        <f t="shared" si="29"/>
        <v>0</v>
      </c>
      <c r="AK46" s="88">
        <f t="shared" si="30"/>
        <v>0</v>
      </c>
      <c r="AL46" s="88">
        <f t="shared" si="31"/>
        <v>0</v>
      </c>
      <c r="AM46" s="87">
        <f t="shared" si="32"/>
        <v>0</v>
      </c>
      <c r="AN46" s="88">
        <f t="shared" si="33"/>
        <v>0</v>
      </c>
      <c r="AO46" s="88">
        <f t="shared" si="34"/>
        <v>0</v>
      </c>
      <c r="AP46" s="88">
        <f t="shared" si="35"/>
        <v>0</v>
      </c>
      <c r="AQ46" s="88">
        <f t="shared" si="36"/>
        <v>0</v>
      </c>
      <c r="AR46" s="87">
        <v>0</v>
      </c>
      <c r="AS46" s="88">
        <f t="shared" si="37"/>
        <v>0</v>
      </c>
      <c r="AT46" s="88">
        <f t="shared" si="38"/>
        <v>0</v>
      </c>
      <c r="AU46" s="88">
        <f t="shared" si="39"/>
        <v>0</v>
      </c>
      <c r="AV46" s="88">
        <f t="shared" si="40"/>
        <v>0</v>
      </c>
      <c r="AW46" s="88">
        <f t="shared" si="41"/>
        <v>0</v>
      </c>
      <c r="AX46" s="88">
        <f t="shared" si="42"/>
        <v>0</v>
      </c>
      <c r="AY46" s="88">
        <f t="shared" si="43"/>
        <v>0</v>
      </c>
      <c r="AZ46" s="88">
        <f t="shared" si="44"/>
        <v>0</v>
      </c>
      <c r="BA46" s="88">
        <f t="shared" si="45"/>
        <v>0</v>
      </c>
      <c r="BB46" s="87">
        <v>0</v>
      </c>
      <c r="BC46" s="88">
        <f t="shared" si="46"/>
        <v>0</v>
      </c>
      <c r="BD46" s="88">
        <f t="shared" si="47"/>
        <v>0</v>
      </c>
      <c r="BE46" s="88">
        <f t="shared" si="48"/>
        <v>0</v>
      </c>
      <c r="BF46" s="88">
        <f t="shared" si="49"/>
        <v>0</v>
      </c>
      <c r="BG46" s="88">
        <f t="shared" si="50"/>
        <v>0</v>
      </c>
      <c r="BH46" s="88">
        <f t="shared" si="51"/>
        <v>0</v>
      </c>
      <c r="BI46" s="88">
        <f t="shared" si="52"/>
        <v>0</v>
      </c>
      <c r="BJ46" s="88">
        <f t="shared" si="53"/>
        <v>0</v>
      </c>
      <c r="BK46" s="88">
        <f t="shared" si="54"/>
        <v>0</v>
      </c>
      <c r="BL46" s="87">
        <v>0</v>
      </c>
      <c r="BM46" s="88">
        <f t="shared" si="55"/>
        <v>0</v>
      </c>
      <c r="BN46" s="88">
        <f t="shared" si="56"/>
        <v>0</v>
      </c>
      <c r="BO46" s="88">
        <f t="shared" si="57"/>
        <v>0</v>
      </c>
      <c r="BP46" s="88">
        <f t="shared" si="58"/>
        <v>0</v>
      </c>
      <c r="BQ46" s="88">
        <f t="shared" si="59"/>
        <v>0</v>
      </c>
      <c r="BR46" s="88">
        <f t="shared" si="60"/>
        <v>0</v>
      </c>
      <c r="BS46" s="88">
        <f t="shared" si="61"/>
        <v>0</v>
      </c>
      <c r="BT46" s="88">
        <f t="shared" si="62"/>
        <v>0</v>
      </c>
      <c r="BU46" s="88">
        <f t="shared" si="63"/>
        <v>0</v>
      </c>
      <c r="BV46" s="87">
        <v>0</v>
      </c>
      <c r="BW46" s="88">
        <f t="shared" si="64"/>
        <v>0</v>
      </c>
      <c r="BX46" s="88">
        <f t="shared" si="65"/>
        <v>0</v>
      </c>
      <c r="BY46" s="88">
        <f t="shared" si="66"/>
        <v>0</v>
      </c>
      <c r="BZ46" s="88">
        <f t="shared" si="67"/>
        <v>0</v>
      </c>
      <c r="CA46" s="87">
        <f t="shared" si="68"/>
        <v>0</v>
      </c>
      <c r="CB46" s="88">
        <f t="shared" si="69"/>
        <v>0</v>
      </c>
      <c r="CC46" s="88">
        <f t="shared" si="70"/>
        <v>0</v>
      </c>
      <c r="CD46" s="88">
        <f t="shared" si="71"/>
        <v>0</v>
      </c>
      <c r="CE46" s="88">
        <f t="shared" si="72"/>
        <v>0</v>
      </c>
      <c r="CF46" s="87">
        <v>0</v>
      </c>
      <c r="CG46" s="88">
        <f t="shared" si="73"/>
        <v>0</v>
      </c>
      <c r="CH46" s="88">
        <f t="shared" si="74"/>
        <v>0</v>
      </c>
      <c r="CI46" s="88">
        <f t="shared" si="75"/>
        <v>0</v>
      </c>
      <c r="CJ46" s="88">
        <f t="shared" si="76"/>
        <v>0</v>
      </c>
      <c r="CK46" s="87">
        <f t="shared" si="77"/>
        <v>0</v>
      </c>
      <c r="CL46" s="88">
        <f t="shared" si="78"/>
        <v>0</v>
      </c>
      <c r="CM46" s="88">
        <f t="shared" si="79"/>
        <v>0</v>
      </c>
      <c r="CN46" s="88">
        <f t="shared" si="80"/>
        <v>0</v>
      </c>
      <c r="CO46" s="88">
        <f t="shared" si="81"/>
        <v>0</v>
      </c>
      <c r="CP46" s="88">
        <v>0</v>
      </c>
      <c r="CQ46" s="88">
        <f t="shared" si="82"/>
        <v>0</v>
      </c>
      <c r="CR46" s="88">
        <f t="shared" si="83"/>
        <v>0</v>
      </c>
      <c r="CS46" s="88">
        <f t="shared" si="84"/>
        <v>0</v>
      </c>
      <c r="CT46" s="88">
        <f t="shared" si="85"/>
        <v>0</v>
      </c>
      <c r="CU46" s="88">
        <f t="shared" si="86"/>
        <v>0</v>
      </c>
      <c r="CV46" s="88">
        <f t="shared" si="87"/>
        <v>0</v>
      </c>
      <c r="CW46" s="88">
        <f t="shared" si="88"/>
        <v>0</v>
      </c>
      <c r="CX46" s="88">
        <f t="shared" si="89"/>
        <v>0</v>
      </c>
      <c r="CY46" s="89">
        <v>0</v>
      </c>
      <c r="CZ46" s="1"/>
    </row>
    <row r="47" spans="2:104" hidden="1" x14ac:dyDescent="0.25">
      <c r="B47" s="58"/>
      <c r="C47" s="77">
        <f t="shared" si="90"/>
        <v>1750</v>
      </c>
      <c r="D47" s="87">
        <v>0</v>
      </c>
      <c r="E47" s="88">
        <f t="shared" si="2"/>
        <v>0</v>
      </c>
      <c r="F47" s="88">
        <f t="shared" si="3"/>
        <v>0</v>
      </c>
      <c r="G47" s="88">
        <f t="shared" si="4"/>
        <v>0</v>
      </c>
      <c r="H47" s="88">
        <f t="shared" si="5"/>
        <v>0</v>
      </c>
      <c r="I47" s="87">
        <f t="shared" si="6"/>
        <v>0</v>
      </c>
      <c r="J47" s="88">
        <f t="shared" si="7"/>
        <v>0</v>
      </c>
      <c r="K47" s="88">
        <f t="shared" si="8"/>
        <v>0</v>
      </c>
      <c r="L47" s="88">
        <f t="shared" si="9"/>
        <v>0</v>
      </c>
      <c r="M47" s="88">
        <f t="shared" si="10"/>
        <v>0</v>
      </c>
      <c r="N47" s="87">
        <v>0</v>
      </c>
      <c r="O47" s="88">
        <f t="shared" si="11"/>
        <v>0</v>
      </c>
      <c r="P47" s="88">
        <f t="shared" si="12"/>
        <v>0</v>
      </c>
      <c r="Q47" s="88">
        <f t="shared" si="13"/>
        <v>0</v>
      </c>
      <c r="R47" s="88">
        <f t="shared" si="14"/>
        <v>0</v>
      </c>
      <c r="S47" s="87">
        <v>0</v>
      </c>
      <c r="T47" s="88">
        <f t="shared" si="15"/>
        <v>0</v>
      </c>
      <c r="U47" s="88">
        <f t="shared" si="16"/>
        <v>0</v>
      </c>
      <c r="V47" s="88">
        <f t="shared" si="17"/>
        <v>0</v>
      </c>
      <c r="W47" s="88">
        <f t="shared" si="18"/>
        <v>0</v>
      </c>
      <c r="X47" s="87">
        <v>0</v>
      </c>
      <c r="Y47" s="88">
        <f t="shared" si="19"/>
        <v>0</v>
      </c>
      <c r="Z47" s="88">
        <f t="shared" si="20"/>
        <v>0</v>
      </c>
      <c r="AA47" s="88">
        <f t="shared" si="21"/>
        <v>0</v>
      </c>
      <c r="AB47" s="88">
        <f t="shared" si="22"/>
        <v>0</v>
      </c>
      <c r="AC47" s="87">
        <f t="shared" si="23"/>
        <v>0</v>
      </c>
      <c r="AD47" s="88">
        <f t="shared" si="24"/>
        <v>0</v>
      </c>
      <c r="AE47" s="88">
        <f t="shared" si="25"/>
        <v>0</v>
      </c>
      <c r="AF47" s="88">
        <f t="shared" si="26"/>
        <v>0</v>
      </c>
      <c r="AG47" s="88">
        <f t="shared" si="27"/>
        <v>0</v>
      </c>
      <c r="AH47" s="87">
        <v>0</v>
      </c>
      <c r="AI47" s="88">
        <f t="shared" si="28"/>
        <v>0</v>
      </c>
      <c r="AJ47" s="88">
        <f t="shared" si="29"/>
        <v>0</v>
      </c>
      <c r="AK47" s="88">
        <f t="shared" si="30"/>
        <v>0</v>
      </c>
      <c r="AL47" s="88">
        <f t="shared" si="31"/>
        <v>0</v>
      </c>
      <c r="AM47" s="87">
        <f t="shared" si="32"/>
        <v>0</v>
      </c>
      <c r="AN47" s="88">
        <f t="shared" si="33"/>
        <v>0</v>
      </c>
      <c r="AO47" s="88">
        <f t="shared" si="34"/>
        <v>0</v>
      </c>
      <c r="AP47" s="88">
        <f t="shared" si="35"/>
        <v>0</v>
      </c>
      <c r="AQ47" s="88">
        <f t="shared" si="36"/>
        <v>0</v>
      </c>
      <c r="AR47" s="87">
        <v>0</v>
      </c>
      <c r="AS47" s="88">
        <f t="shared" si="37"/>
        <v>0</v>
      </c>
      <c r="AT47" s="88">
        <f t="shared" si="38"/>
        <v>0</v>
      </c>
      <c r="AU47" s="88">
        <f t="shared" si="39"/>
        <v>0</v>
      </c>
      <c r="AV47" s="88">
        <f t="shared" si="40"/>
        <v>0</v>
      </c>
      <c r="AW47" s="88">
        <f t="shared" si="41"/>
        <v>0</v>
      </c>
      <c r="AX47" s="88">
        <f t="shared" si="42"/>
        <v>0</v>
      </c>
      <c r="AY47" s="88">
        <f t="shared" si="43"/>
        <v>0</v>
      </c>
      <c r="AZ47" s="88">
        <f t="shared" si="44"/>
        <v>0</v>
      </c>
      <c r="BA47" s="88">
        <f t="shared" si="45"/>
        <v>0</v>
      </c>
      <c r="BB47" s="87">
        <v>0</v>
      </c>
      <c r="BC47" s="88">
        <f t="shared" si="46"/>
        <v>0</v>
      </c>
      <c r="BD47" s="88">
        <f t="shared" si="47"/>
        <v>0</v>
      </c>
      <c r="BE47" s="88">
        <f t="shared" si="48"/>
        <v>0</v>
      </c>
      <c r="BF47" s="88">
        <f t="shared" si="49"/>
        <v>0</v>
      </c>
      <c r="BG47" s="88">
        <f t="shared" si="50"/>
        <v>0</v>
      </c>
      <c r="BH47" s="88">
        <f t="shared" si="51"/>
        <v>0</v>
      </c>
      <c r="BI47" s="88">
        <f t="shared" si="52"/>
        <v>0</v>
      </c>
      <c r="BJ47" s="88">
        <f t="shared" si="53"/>
        <v>0</v>
      </c>
      <c r="BK47" s="88">
        <f t="shared" si="54"/>
        <v>0</v>
      </c>
      <c r="BL47" s="87">
        <v>0</v>
      </c>
      <c r="BM47" s="88">
        <f t="shared" si="55"/>
        <v>0</v>
      </c>
      <c r="BN47" s="88">
        <f t="shared" si="56"/>
        <v>0</v>
      </c>
      <c r="BO47" s="88">
        <f t="shared" si="57"/>
        <v>0</v>
      </c>
      <c r="BP47" s="88">
        <f t="shared" si="58"/>
        <v>0</v>
      </c>
      <c r="BQ47" s="88">
        <f t="shared" si="59"/>
        <v>0</v>
      </c>
      <c r="BR47" s="88">
        <f t="shared" si="60"/>
        <v>0</v>
      </c>
      <c r="BS47" s="88">
        <f t="shared" si="61"/>
        <v>0</v>
      </c>
      <c r="BT47" s="88">
        <f t="shared" si="62"/>
        <v>0</v>
      </c>
      <c r="BU47" s="88">
        <f t="shared" si="63"/>
        <v>0</v>
      </c>
      <c r="BV47" s="87">
        <v>0</v>
      </c>
      <c r="BW47" s="88">
        <f t="shared" si="64"/>
        <v>0</v>
      </c>
      <c r="BX47" s="88">
        <f t="shared" si="65"/>
        <v>0</v>
      </c>
      <c r="BY47" s="88">
        <f t="shared" si="66"/>
        <v>0</v>
      </c>
      <c r="BZ47" s="88">
        <f t="shared" si="67"/>
        <v>0</v>
      </c>
      <c r="CA47" s="87">
        <f t="shared" si="68"/>
        <v>0</v>
      </c>
      <c r="CB47" s="88">
        <f t="shared" si="69"/>
        <v>0</v>
      </c>
      <c r="CC47" s="88">
        <f t="shared" si="70"/>
        <v>0</v>
      </c>
      <c r="CD47" s="88">
        <f t="shared" si="71"/>
        <v>0</v>
      </c>
      <c r="CE47" s="88">
        <f t="shared" si="72"/>
        <v>0</v>
      </c>
      <c r="CF47" s="87">
        <v>0</v>
      </c>
      <c r="CG47" s="88">
        <f t="shared" si="73"/>
        <v>0</v>
      </c>
      <c r="CH47" s="88">
        <f t="shared" si="74"/>
        <v>0</v>
      </c>
      <c r="CI47" s="88">
        <f t="shared" si="75"/>
        <v>0</v>
      </c>
      <c r="CJ47" s="88">
        <f t="shared" si="76"/>
        <v>0</v>
      </c>
      <c r="CK47" s="87">
        <f t="shared" si="77"/>
        <v>0</v>
      </c>
      <c r="CL47" s="88">
        <f t="shared" si="78"/>
        <v>0</v>
      </c>
      <c r="CM47" s="88">
        <f t="shared" si="79"/>
        <v>0</v>
      </c>
      <c r="CN47" s="88">
        <f t="shared" si="80"/>
        <v>0</v>
      </c>
      <c r="CO47" s="88">
        <f t="shared" si="81"/>
        <v>0</v>
      </c>
      <c r="CP47" s="88">
        <v>0</v>
      </c>
      <c r="CQ47" s="88">
        <f t="shared" si="82"/>
        <v>0</v>
      </c>
      <c r="CR47" s="88">
        <f t="shared" si="83"/>
        <v>0</v>
      </c>
      <c r="CS47" s="88">
        <f t="shared" si="84"/>
        <v>0</v>
      </c>
      <c r="CT47" s="88">
        <f t="shared" si="85"/>
        <v>0</v>
      </c>
      <c r="CU47" s="88">
        <f t="shared" si="86"/>
        <v>0</v>
      </c>
      <c r="CV47" s="88">
        <f t="shared" si="87"/>
        <v>0</v>
      </c>
      <c r="CW47" s="88">
        <f t="shared" si="88"/>
        <v>0</v>
      </c>
      <c r="CX47" s="88">
        <f t="shared" si="89"/>
        <v>0</v>
      </c>
      <c r="CY47" s="89">
        <v>0</v>
      </c>
      <c r="CZ47" s="1"/>
    </row>
    <row r="48" spans="2:104" hidden="1" x14ac:dyDescent="0.25">
      <c r="B48" s="58"/>
      <c r="C48" s="77">
        <f t="shared" si="90"/>
        <v>2000</v>
      </c>
      <c r="D48" s="87">
        <v>0</v>
      </c>
      <c r="E48" s="88">
        <f t="shared" si="2"/>
        <v>0</v>
      </c>
      <c r="F48" s="88">
        <f t="shared" si="3"/>
        <v>0</v>
      </c>
      <c r="G48" s="88">
        <f t="shared" si="4"/>
        <v>0</v>
      </c>
      <c r="H48" s="88">
        <f t="shared" si="5"/>
        <v>0</v>
      </c>
      <c r="I48" s="87">
        <f t="shared" si="6"/>
        <v>0</v>
      </c>
      <c r="J48" s="88">
        <f t="shared" si="7"/>
        <v>0</v>
      </c>
      <c r="K48" s="88">
        <f t="shared" si="8"/>
        <v>0</v>
      </c>
      <c r="L48" s="88">
        <f t="shared" si="9"/>
        <v>0</v>
      </c>
      <c r="M48" s="88">
        <f t="shared" si="10"/>
        <v>0</v>
      </c>
      <c r="N48" s="87">
        <v>0</v>
      </c>
      <c r="O48" s="88">
        <f t="shared" si="11"/>
        <v>0</v>
      </c>
      <c r="P48" s="88">
        <f t="shared" si="12"/>
        <v>0</v>
      </c>
      <c r="Q48" s="88">
        <f t="shared" si="13"/>
        <v>0</v>
      </c>
      <c r="R48" s="88">
        <f t="shared" si="14"/>
        <v>0</v>
      </c>
      <c r="S48" s="87">
        <v>0</v>
      </c>
      <c r="T48" s="88">
        <f t="shared" si="15"/>
        <v>0</v>
      </c>
      <c r="U48" s="88">
        <f t="shared" si="16"/>
        <v>0</v>
      </c>
      <c r="V48" s="88">
        <f t="shared" si="17"/>
        <v>0</v>
      </c>
      <c r="W48" s="88">
        <f t="shared" si="18"/>
        <v>0</v>
      </c>
      <c r="X48" s="87">
        <v>0</v>
      </c>
      <c r="Y48" s="88">
        <f t="shared" si="19"/>
        <v>0</v>
      </c>
      <c r="Z48" s="88">
        <f t="shared" si="20"/>
        <v>0</v>
      </c>
      <c r="AA48" s="88">
        <f t="shared" si="21"/>
        <v>0</v>
      </c>
      <c r="AB48" s="88">
        <f t="shared" si="22"/>
        <v>0</v>
      </c>
      <c r="AC48" s="87">
        <f t="shared" si="23"/>
        <v>0</v>
      </c>
      <c r="AD48" s="88">
        <f t="shared" si="24"/>
        <v>0</v>
      </c>
      <c r="AE48" s="88">
        <f t="shared" si="25"/>
        <v>0</v>
      </c>
      <c r="AF48" s="88">
        <f t="shared" si="26"/>
        <v>0</v>
      </c>
      <c r="AG48" s="88">
        <f t="shared" si="27"/>
        <v>0</v>
      </c>
      <c r="AH48" s="87">
        <v>0</v>
      </c>
      <c r="AI48" s="88">
        <f t="shared" si="28"/>
        <v>0</v>
      </c>
      <c r="AJ48" s="88">
        <f t="shared" si="29"/>
        <v>0</v>
      </c>
      <c r="AK48" s="88">
        <f t="shared" si="30"/>
        <v>0</v>
      </c>
      <c r="AL48" s="88">
        <f t="shared" si="31"/>
        <v>0</v>
      </c>
      <c r="AM48" s="87">
        <f t="shared" si="32"/>
        <v>0</v>
      </c>
      <c r="AN48" s="88">
        <f t="shared" si="33"/>
        <v>0</v>
      </c>
      <c r="AO48" s="88">
        <f t="shared" si="34"/>
        <v>0</v>
      </c>
      <c r="AP48" s="88">
        <f t="shared" si="35"/>
        <v>0</v>
      </c>
      <c r="AQ48" s="88">
        <f t="shared" si="36"/>
        <v>0</v>
      </c>
      <c r="AR48" s="87">
        <v>0</v>
      </c>
      <c r="AS48" s="88">
        <f t="shared" si="37"/>
        <v>0</v>
      </c>
      <c r="AT48" s="88">
        <f t="shared" si="38"/>
        <v>0</v>
      </c>
      <c r="AU48" s="88">
        <f t="shared" si="39"/>
        <v>0</v>
      </c>
      <c r="AV48" s="88">
        <f t="shared" si="40"/>
        <v>0</v>
      </c>
      <c r="AW48" s="88">
        <f t="shared" si="41"/>
        <v>0</v>
      </c>
      <c r="AX48" s="88">
        <f t="shared" si="42"/>
        <v>0</v>
      </c>
      <c r="AY48" s="88">
        <f t="shared" si="43"/>
        <v>0</v>
      </c>
      <c r="AZ48" s="88">
        <f t="shared" si="44"/>
        <v>0</v>
      </c>
      <c r="BA48" s="88">
        <f t="shared" si="45"/>
        <v>0</v>
      </c>
      <c r="BB48" s="87">
        <v>0</v>
      </c>
      <c r="BC48" s="88">
        <f t="shared" si="46"/>
        <v>0</v>
      </c>
      <c r="BD48" s="88">
        <f t="shared" si="47"/>
        <v>0</v>
      </c>
      <c r="BE48" s="88">
        <f t="shared" si="48"/>
        <v>0</v>
      </c>
      <c r="BF48" s="88">
        <f t="shared" si="49"/>
        <v>0</v>
      </c>
      <c r="BG48" s="88">
        <f t="shared" si="50"/>
        <v>0</v>
      </c>
      <c r="BH48" s="88">
        <f t="shared" si="51"/>
        <v>0</v>
      </c>
      <c r="BI48" s="88">
        <f t="shared" si="52"/>
        <v>0</v>
      </c>
      <c r="BJ48" s="88">
        <f t="shared" si="53"/>
        <v>0</v>
      </c>
      <c r="BK48" s="88">
        <f t="shared" si="54"/>
        <v>0</v>
      </c>
      <c r="BL48" s="87">
        <v>0</v>
      </c>
      <c r="BM48" s="88">
        <f t="shared" si="55"/>
        <v>0</v>
      </c>
      <c r="BN48" s="88">
        <f t="shared" si="56"/>
        <v>0</v>
      </c>
      <c r="BO48" s="88">
        <f t="shared" si="57"/>
        <v>0</v>
      </c>
      <c r="BP48" s="88">
        <f t="shared" si="58"/>
        <v>0</v>
      </c>
      <c r="BQ48" s="88">
        <f t="shared" si="59"/>
        <v>0</v>
      </c>
      <c r="BR48" s="88">
        <f t="shared" si="60"/>
        <v>0</v>
      </c>
      <c r="BS48" s="88">
        <f t="shared" si="61"/>
        <v>0</v>
      </c>
      <c r="BT48" s="88">
        <f t="shared" si="62"/>
        <v>0</v>
      </c>
      <c r="BU48" s="88">
        <f t="shared" si="63"/>
        <v>0</v>
      </c>
      <c r="BV48" s="87">
        <v>0</v>
      </c>
      <c r="BW48" s="88">
        <f t="shared" si="64"/>
        <v>0</v>
      </c>
      <c r="BX48" s="88">
        <f t="shared" si="65"/>
        <v>0</v>
      </c>
      <c r="BY48" s="88">
        <f t="shared" si="66"/>
        <v>0</v>
      </c>
      <c r="BZ48" s="88">
        <f t="shared" si="67"/>
        <v>0</v>
      </c>
      <c r="CA48" s="87">
        <f t="shared" si="68"/>
        <v>0</v>
      </c>
      <c r="CB48" s="88">
        <f t="shared" si="69"/>
        <v>0</v>
      </c>
      <c r="CC48" s="88">
        <f t="shared" si="70"/>
        <v>0</v>
      </c>
      <c r="CD48" s="88">
        <f t="shared" si="71"/>
        <v>0</v>
      </c>
      <c r="CE48" s="88">
        <f t="shared" si="72"/>
        <v>0</v>
      </c>
      <c r="CF48" s="87">
        <v>0</v>
      </c>
      <c r="CG48" s="88">
        <f t="shared" si="73"/>
        <v>0</v>
      </c>
      <c r="CH48" s="88">
        <f t="shared" si="74"/>
        <v>0</v>
      </c>
      <c r="CI48" s="88">
        <f t="shared" si="75"/>
        <v>0</v>
      </c>
      <c r="CJ48" s="88">
        <f t="shared" si="76"/>
        <v>0</v>
      </c>
      <c r="CK48" s="87">
        <f t="shared" si="77"/>
        <v>0</v>
      </c>
      <c r="CL48" s="88">
        <f t="shared" si="78"/>
        <v>0</v>
      </c>
      <c r="CM48" s="88">
        <f t="shared" si="79"/>
        <v>0</v>
      </c>
      <c r="CN48" s="88">
        <f t="shared" si="80"/>
        <v>0</v>
      </c>
      <c r="CO48" s="88">
        <f t="shared" si="81"/>
        <v>0</v>
      </c>
      <c r="CP48" s="88">
        <v>0</v>
      </c>
      <c r="CQ48" s="88">
        <f t="shared" si="82"/>
        <v>0</v>
      </c>
      <c r="CR48" s="88">
        <f t="shared" si="83"/>
        <v>0</v>
      </c>
      <c r="CS48" s="88">
        <f t="shared" si="84"/>
        <v>0</v>
      </c>
      <c r="CT48" s="88">
        <f t="shared" si="85"/>
        <v>0</v>
      </c>
      <c r="CU48" s="88">
        <f t="shared" si="86"/>
        <v>0</v>
      </c>
      <c r="CV48" s="88">
        <f t="shared" si="87"/>
        <v>0</v>
      </c>
      <c r="CW48" s="88">
        <f t="shared" si="88"/>
        <v>0</v>
      </c>
      <c r="CX48" s="88">
        <f t="shared" si="89"/>
        <v>0</v>
      </c>
      <c r="CY48" s="89">
        <v>0</v>
      </c>
      <c r="CZ48" s="1"/>
    </row>
    <row r="49" spans="2:104" hidden="1" x14ac:dyDescent="0.25">
      <c r="B49" s="58"/>
      <c r="C49" s="77">
        <f t="shared" si="90"/>
        <v>2250</v>
      </c>
      <c r="D49" s="87">
        <v>0</v>
      </c>
      <c r="E49" s="88">
        <f t="shared" si="2"/>
        <v>0</v>
      </c>
      <c r="F49" s="88">
        <f t="shared" si="3"/>
        <v>0</v>
      </c>
      <c r="G49" s="88">
        <f t="shared" si="4"/>
        <v>0</v>
      </c>
      <c r="H49" s="88">
        <f t="shared" si="5"/>
        <v>0</v>
      </c>
      <c r="I49" s="87">
        <f t="shared" si="6"/>
        <v>0</v>
      </c>
      <c r="J49" s="88">
        <f t="shared" si="7"/>
        <v>0</v>
      </c>
      <c r="K49" s="88">
        <f t="shared" si="8"/>
        <v>0</v>
      </c>
      <c r="L49" s="88">
        <f t="shared" si="9"/>
        <v>0</v>
      </c>
      <c r="M49" s="88">
        <f t="shared" si="10"/>
        <v>0</v>
      </c>
      <c r="N49" s="87">
        <v>0</v>
      </c>
      <c r="O49" s="88">
        <f t="shared" si="11"/>
        <v>0</v>
      </c>
      <c r="P49" s="88">
        <f t="shared" si="12"/>
        <v>0</v>
      </c>
      <c r="Q49" s="88">
        <f t="shared" si="13"/>
        <v>0</v>
      </c>
      <c r="R49" s="88">
        <f t="shared" si="14"/>
        <v>0</v>
      </c>
      <c r="S49" s="87">
        <v>0</v>
      </c>
      <c r="T49" s="88">
        <f t="shared" si="15"/>
        <v>0</v>
      </c>
      <c r="U49" s="88">
        <f t="shared" si="16"/>
        <v>0</v>
      </c>
      <c r="V49" s="88">
        <f t="shared" si="17"/>
        <v>0</v>
      </c>
      <c r="W49" s="88">
        <f t="shared" si="18"/>
        <v>0</v>
      </c>
      <c r="X49" s="87">
        <v>0</v>
      </c>
      <c r="Y49" s="88">
        <f t="shared" si="19"/>
        <v>0</v>
      </c>
      <c r="Z49" s="88">
        <f t="shared" si="20"/>
        <v>0</v>
      </c>
      <c r="AA49" s="88">
        <f t="shared" si="21"/>
        <v>0</v>
      </c>
      <c r="AB49" s="88">
        <f t="shared" si="22"/>
        <v>0</v>
      </c>
      <c r="AC49" s="87">
        <f t="shared" si="23"/>
        <v>0</v>
      </c>
      <c r="AD49" s="88">
        <f t="shared" si="24"/>
        <v>0</v>
      </c>
      <c r="AE49" s="88">
        <f t="shared" si="25"/>
        <v>0</v>
      </c>
      <c r="AF49" s="88">
        <f t="shared" si="26"/>
        <v>0</v>
      </c>
      <c r="AG49" s="88">
        <f t="shared" si="27"/>
        <v>0</v>
      </c>
      <c r="AH49" s="87">
        <v>0</v>
      </c>
      <c r="AI49" s="88">
        <f t="shared" si="28"/>
        <v>0</v>
      </c>
      <c r="AJ49" s="88">
        <f t="shared" si="29"/>
        <v>0</v>
      </c>
      <c r="AK49" s="88">
        <f t="shared" si="30"/>
        <v>0</v>
      </c>
      <c r="AL49" s="88">
        <f t="shared" si="31"/>
        <v>0</v>
      </c>
      <c r="AM49" s="87">
        <f t="shared" si="32"/>
        <v>0</v>
      </c>
      <c r="AN49" s="88">
        <f t="shared" si="33"/>
        <v>0</v>
      </c>
      <c r="AO49" s="88">
        <f t="shared" si="34"/>
        <v>0</v>
      </c>
      <c r="AP49" s="88">
        <f t="shared" si="35"/>
        <v>0</v>
      </c>
      <c r="AQ49" s="88">
        <f t="shared" si="36"/>
        <v>0</v>
      </c>
      <c r="AR49" s="87">
        <v>0</v>
      </c>
      <c r="AS49" s="88">
        <f t="shared" si="37"/>
        <v>0</v>
      </c>
      <c r="AT49" s="88">
        <f t="shared" si="38"/>
        <v>0</v>
      </c>
      <c r="AU49" s="88">
        <f t="shared" si="39"/>
        <v>0</v>
      </c>
      <c r="AV49" s="88">
        <f t="shared" si="40"/>
        <v>0</v>
      </c>
      <c r="AW49" s="88">
        <f t="shared" si="41"/>
        <v>0</v>
      </c>
      <c r="AX49" s="88">
        <f t="shared" si="42"/>
        <v>0</v>
      </c>
      <c r="AY49" s="88">
        <f t="shared" si="43"/>
        <v>0</v>
      </c>
      <c r="AZ49" s="88">
        <f t="shared" si="44"/>
        <v>0</v>
      </c>
      <c r="BA49" s="88">
        <f t="shared" si="45"/>
        <v>0</v>
      </c>
      <c r="BB49" s="87">
        <v>0</v>
      </c>
      <c r="BC49" s="88">
        <f t="shared" si="46"/>
        <v>0</v>
      </c>
      <c r="BD49" s="88">
        <f t="shared" si="47"/>
        <v>0</v>
      </c>
      <c r="BE49" s="88">
        <f t="shared" si="48"/>
        <v>0</v>
      </c>
      <c r="BF49" s="88">
        <f t="shared" si="49"/>
        <v>0</v>
      </c>
      <c r="BG49" s="88">
        <f t="shared" si="50"/>
        <v>0</v>
      </c>
      <c r="BH49" s="88">
        <f t="shared" si="51"/>
        <v>0</v>
      </c>
      <c r="BI49" s="88">
        <f t="shared" si="52"/>
        <v>0</v>
      </c>
      <c r="BJ49" s="88">
        <f t="shared" si="53"/>
        <v>0</v>
      </c>
      <c r="BK49" s="88">
        <f t="shared" si="54"/>
        <v>0</v>
      </c>
      <c r="BL49" s="87">
        <v>0</v>
      </c>
      <c r="BM49" s="88">
        <f t="shared" si="55"/>
        <v>0</v>
      </c>
      <c r="BN49" s="88">
        <f t="shared" si="56"/>
        <v>0</v>
      </c>
      <c r="BO49" s="88">
        <f t="shared" si="57"/>
        <v>0</v>
      </c>
      <c r="BP49" s="88">
        <f t="shared" si="58"/>
        <v>0</v>
      </c>
      <c r="BQ49" s="88">
        <f t="shared" si="59"/>
        <v>0</v>
      </c>
      <c r="BR49" s="88">
        <f t="shared" si="60"/>
        <v>0</v>
      </c>
      <c r="BS49" s="88">
        <f t="shared" si="61"/>
        <v>0</v>
      </c>
      <c r="BT49" s="88">
        <f t="shared" si="62"/>
        <v>0</v>
      </c>
      <c r="BU49" s="88">
        <f t="shared" si="63"/>
        <v>0</v>
      </c>
      <c r="BV49" s="87">
        <v>0</v>
      </c>
      <c r="BW49" s="88">
        <f t="shared" si="64"/>
        <v>0</v>
      </c>
      <c r="BX49" s="88">
        <f t="shared" si="65"/>
        <v>0</v>
      </c>
      <c r="BY49" s="88">
        <f t="shared" si="66"/>
        <v>0</v>
      </c>
      <c r="BZ49" s="88">
        <f t="shared" si="67"/>
        <v>0</v>
      </c>
      <c r="CA49" s="87">
        <f t="shared" si="68"/>
        <v>0</v>
      </c>
      <c r="CB49" s="88">
        <f t="shared" si="69"/>
        <v>0</v>
      </c>
      <c r="CC49" s="88">
        <f t="shared" si="70"/>
        <v>0</v>
      </c>
      <c r="CD49" s="88">
        <f t="shared" si="71"/>
        <v>0</v>
      </c>
      <c r="CE49" s="88">
        <f t="shared" si="72"/>
        <v>0</v>
      </c>
      <c r="CF49" s="87">
        <v>0</v>
      </c>
      <c r="CG49" s="88">
        <f t="shared" si="73"/>
        <v>0</v>
      </c>
      <c r="CH49" s="88">
        <f t="shared" si="74"/>
        <v>0</v>
      </c>
      <c r="CI49" s="88">
        <f t="shared" si="75"/>
        <v>0</v>
      </c>
      <c r="CJ49" s="88">
        <f t="shared" si="76"/>
        <v>0</v>
      </c>
      <c r="CK49" s="87">
        <f t="shared" si="77"/>
        <v>0</v>
      </c>
      <c r="CL49" s="88">
        <f t="shared" si="78"/>
        <v>0</v>
      </c>
      <c r="CM49" s="88">
        <f t="shared" si="79"/>
        <v>0</v>
      </c>
      <c r="CN49" s="88">
        <f t="shared" si="80"/>
        <v>0</v>
      </c>
      <c r="CO49" s="88">
        <f t="shared" si="81"/>
        <v>0</v>
      </c>
      <c r="CP49" s="88">
        <v>0</v>
      </c>
      <c r="CQ49" s="88">
        <f t="shared" si="82"/>
        <v>0</v>
      </c>
      <c r="CR49" s="88">
        <f t="shared" si="83"/>
        <v>0</v>
      </c>
      <c r="CS49" s="88">
        <f t="shared" si="84"/>
        <v>0</v>
      </c>
      <c r="CT49" s="88">
        <f t="shared" si="85"/>
        <v>0</v>
      </c>
      <c r="CU49" s="88">
        <f t="shared" si="86"/>
        <v>0</v>
      </c>
      <c r="CV49" s="88">
        <f t="shared" si="87"/>
        <v>0</v>
      </c>
      <c r="CW49" s="88">
        <f t="shared" si="88"/>
        <v>0</v>
      </c>
      <c r="CX49" s="88">
        <f t="shared" si="89"/>
        <v>0</v>
      </c>
      <c r="CY49" s="89">
        <v>0</v>
      </c>
      <c r="CZ49" s="1"/>
    </row>
    <row r="50" spans="2:104" hidden="1" x14ac:dyDescent="0.25">
      <c r="B50" s="58"/>
      <c r="C50" s="77">
        <f t="shared" si="90"/>
        <v>2500</v>
      </c>
      <c r="D50" s="87">
        <v>0</v>
      </c>
      <c r="E50" s="88">
        <f t="shared" si="2"/>
        <v>0</v>
      </c>
      <c r="F50" s="88">
        <f t="shared" si="3"/>
        <v>0</v>
      </c>
      <c r="G50" s="88">
        <f t="shared" si="4"/>
        <v>0</v>
      </c>
      <c r="H50" s="88">
        <f t="shared" si="5"/>
        <v>0</v>
      </c>
      <c r="I50" s="87">
        <f t="shared" si="6"/>
        <v>0</v>
      </c>
      <c r="J50" s="88">
        <f t="shared" si="7"/>
        <v>0</v>
      </c>
      <c r="K50" s="88">
        <f t="shared" si="8"/>
        <v>0</v>
      </c>
      <c r="L50" s="88">
        <f t="shared" si="9"/>
        <v>0</v>
      </c>
      <c r="M50" s="88">
        <f t="shared" si="10"/>
        <v>0</v>
      </c>
      <c r="N50" s="87">
        <v>0</v>
      </c>
      <c r="O50" s="88">
        <f t="shared" si="11"/>
        <v>0</v>
      </c>
      <c r="P50" s="88">
        <f t="shared" si="12"/>
        <v>0</v>
      </c>
      <c r="Q50" s="88">
        <f t="shared" si="13"/>
        <v>0</v>
      </c>
      <c r="R50" s="88">
        <f t="shared" si="14"/>
        <v>0</v>
      </c>
      <c r="S50" s="87">
        <v>0</v>
      </c>
      <c r="T50" s="88">
        <f t="shared" si="15"/>
        <v>0</v>
      </c>
      <c r="U50" s="88">
        <f t="shared" si="16"/>
        <v>0</v>
      </c>
      <c r="V50" s="88">
        <f t="shared" si="17"/>
        <v>0</v>
      </c>
      <c r="W50" s="88">
        <f t="shared" si="18"/>
        <v>0</v>
      </c>
      <c r="X50" s="87">
        <v>0</v>
      </c>
      <c r="Y50" s="88">
        <f t="shared" si="19"/>
        <v>0</v>
      </c>
      <c r="Z50" s="88">
        <f t="shared" si="20"/>
        <v>0</v>
      </c>
      <c r="AA50" s="88">
        <f t="shared" si="21"/>
        <v>0</v>
      </c>
      <c r="AB50" s="88">
        <f t="shared" si="22"/>
        <v>0</v>
      </c>
      <c r="AC50" s="87">
        <f t="shared" si="23"/>
        <v>0</v>
      </c>
      <c r="AD50" s="88">
        <f t="shared" si="24"/>
        <v>0</v>
      </c>
      <c r="AE50" s="88">
        <f t="shared" si="25"/>
        <v>0</v>
      </c>
      <c r="AF50" s="88">
        <f t="shared" si="26"/>
        <v>0</v>
      </c>
      <c r="AG50" s="88">
        <f t="shared" si="27"/>
        <v>0</v>
      </c>
      <c r="AH50" s="87">
        <v>0</v>
      </c>
      <c r="AI50" s="88">
        <f t="shared" si="28"/>
        <v>0</v>
      </c>
      <c r="AJ50" s="88">
        <f t="shared" si="29"/>
        <v>0</v>
      </c>
      <c r="AK50" s="88">
        <f t="shared" si="30"/>
        <v>0</v>
      </c>
      <c r="AL50" s="88">
        <f t="shared" si="31"/>
        <v>0</v>
      </c>
      <c r="AM50" s="87">
        <f t="shared" si="32"/>
        <v>0</v>
      </c>
      <c r="AN50" s="88">
        <f t="shared" si="33"/>
        <v>0</v>
      </c>
      <c r="AO50" s="88">
        <f t="shared" si="34"/>
        <v>0</v>
      </c>
      <c r="AP50" s="88">
        <f t="shared" si="35"/>
        <v>0</v>
      </c>
      <c r="AQ50" s="88">
        <f t="shared" si="36"/>
        <v>0</v>
      </c>
      <c r="AR50" s="87">
        <v>0</v>
      </c>
      <c r="AS50" s="88">
        <f t="shared" si="37"/>
        <v>0</v>
      </c>
      <c r="AT50" s="88">
        <f t="shared" si="38"/>
        <v>0</v>
      </c>
      <c r="AU50" s="88">
        <f t="shared" si="39"/>
        <v>0</v>
      </c>
      <c r="AV50" s="88">
        <f t="shared" si="40"/>
        <v>0</v>
      </c>
      <c r="AW50" s="88">
        <f t="shared" si="41"/>
        <v>0</v>
      </c>
      <c r="AX50" s="88">
        <f t="shared" si="42"/>
        <v>0</v>
      </c>
      <c r="AY50" s="88">
        <f t="shared" si="43"/>
        <v>0</v>
      </c>
      <c r="AZ50" s="88">
        <f t="shared" si="44"/>
        <v>0</v>
      </c>
      <c r="BA50" s="88">
        <f t="shared" si="45"/>
        <v>0</v>
      </c>
      <c r="BB50" s="87">
        <v>0</v>
      </c>
      <c r="BC50" s="88">
        <f t="shared" si="46"/>
        <v>0</v>
      </c>
      <c r="BD50" s="88">
        <f t="shared" si="47"/>
        <v>0</v>
      </c>
      <c r="BE50" s="88">
        <f t="shared" si="48"/>
        <v>0</v>
      </c>
      <c r="BF50" s="88">
        <f t="shared" si="49"/>
        <v>0</v>
      </c>
      <c r="BG50" s="88">
        <f t="shared" si="50"/>
        <v>0</v>
      </c>
      <c r="BH50" s="88">
        <f t="shared" si="51"/>
        <v>0</v>
      </c>
      <c r="BI50" s="88">
        <f t="shared" si="52"/>
        <v>0</v>
      </c>
      <c r="BJ50" s="88">
        <f t="shared" si="53"/>
        <v>0</v>
      </c>
      <c r="BK50" s="88">
        <f t="shared" si="54"/>
        <v>0</v>
      </c>
      <c r="BL50" s="87">
        <v>0</v>
      </c>
      <c r="BM50" s="88">
        <f t="shared" si="55"/>
        <v>0</v>
      </c>
      <c r="BN50" s="88">
        <f t="shared" si="56"/>
        <v>0</v>
      </c>
      <c r="BO50" s="88">
        <f t="shared" si="57"/>
        <v>0</v>
      </c>
      <c r="BP50" s="88">
        <f t="shared" si="58"/>
        <v>0</v>
      </c>
      <c r="BQ50" s="88">
        <f t="shared" si="59"/>
        <v>0</v>
      </c>
      <c r="BR50" s="88">
        <f t="shared" si="60"/>
        <v>0</v>
      </c>
      <c r="BS50" s="88">
        <f t="shared" si="61"/>
        <v>0</v>
      </c>
      <c r="BT50" s="88">
        <f t="shared" si="62"/>
        <v>0</v>
      </c>
      <c r="BU50" s="88">
        <f t="shared" si="63"/>
        <v>0</v>
      </c>
      <c r="BV50" s="87">
        <v>0</v>
      </c>
      <c r="BW50" s="88">
        <f t="shared" si="64"/>
        <v>0</v>
      </c>
      <c r="BX50" s="88">
        <f t="shared" si="65"/>
        <v>0</v>
      </c>
      <c r="BY50" s="88">
        <f t="shared" si="66"/>
        <v>0</v>
      </c>
      <c r="BZ50" s="88">
        <f t="shared" si="67"/>
        <v>0</v>
      </c>
      <c r="CA50" s="87">
        <f t="shared" si="68"/>
        <v>0</v>
      </c>
      <c r="CB50" s="88">
        <f t="shared" si="69"/>
        <v>0</v>
      </c>
      <c r="CC50" s="88">
        <f t="shared" si="70"/>
        <v>0</v>
      </c>
      <c r="CD50" s="88">
        <f t="shared" si="71"/>
        <v>0</v>
      </c>
      <c r="CE50" s="88">
        <f t="shared" si="72"/>
        <v>0</v>
      </c>
      <c r="CF50" s="87">
        <v>0</v>
      </c>
      <c r="CG50" s="88">
        <f t="shared" si="73"/>
        <v>0</v>
      </c>
      <c r="CH50" s="88">
        <f t="shared" si="74"/>
        <v>0</v>
      </c>
      <c r="CI50" s="88">
        <f t="shared" si="75"/>
        <v>0</v>
      </c>
      <c r="CJ50" s="88">
        <f t="shared" si="76"/>
        <v>0</v>
      </c>
      <c r="CK50" s="87">
        <f t="shared" si="77"/>
        <v>0</v>
      </c>
      <c r="CL50" s="88">
        <f t="shared" si="78"/>
        <v>0</v>
      </c>
      <c r="CM50" s="88">
        <f t="shared" si="79"/>
        <v>0</v>
      </c>
      <c r="CN50" s="88">
        <f t="shared" si="80"/>
        <v>0</v>
      </c>
      <c r="CO50" s="88">
        <f t="shared" si="81"/>
        <v>0</v>
      </c>
      <c r="CP50" s="88">
        <v>0</v>
      </c>
      <c r="CQ50" s="88">
        <f t="shared" si="82"/>
        <v>0</v>
      </c>
      <c r="CR50" s="88">
        <f t="shared" si="83"/>
        <v>0</v>
      </c>
      <c r="CS50" s="88">
        <f t="shared" si="84"/>
        <v>0</v>
      </c>
      <c r="CT50" s="88">
        <f t="shared" si="85"/>
        <v>0</v>
      </c>
      <c r="CU50" s="88">
        <f t="shared" si="86"/>
        <v>0</v>
      </c>
      <c r="CV50" s="88">
        <f t="shared" si="87"/>
        <v>0</v>
      </c>
      <c r="CW50" s="88">
        <f t="shared" si="88"/>
        <v>0</v>
      </c>
      <c r="CX50" s="88">
        <f t="shared" si="89"/>
        <v>0</v>
      </c>
      <c r="CY50" s="89">
        <v>0</v>
      </c>
      <c r="CZ50" s="1"/>
    </row>
    <row r="51" spans="2:104" hidden="1" x14ac:dyDescent="0.25">
      <c r="B51" s="58"/>
      <c r="C51" s="77">
        <f t="shared" si="90"/>
        <v>2750</v>
      </c>
      <c r="D51" s="87">
        <v>0</v>
      </c>
      <c r="E51" s="88">
        <f t="shared" si="2"/>
        <v>0</v>
      </c>
      <c r="F51" s="88">
        <f t="shared" si="3"/>
        <v>0</v>
      </c>
      <c r="G51" s="88">
        <f t="shared" si="4"/>
        <v>0</v>
      </c>
      <c r="H51" s="88">
        <f t="shared" si="5"/>
        <v>0</v>
      </c>
      <c r="I51" s="87">
        <f t="shared" si="6"/>
        <v>0</v>
      </c>
      <c r="J51" s="88">
        <f t="shared" si="7"/>
        <v>0</v>
      </c>
      <c r="K51" s="88">
        <f t="shared" si="8"/>
        <v>0</v>
      </c>
      <c r="L51" s="88">
        <f t="shared" si="9"/>
        <v>0</v>
      </c>
      <c r="M51" s="88">
        <f t="shared" si="10"/>
        <v>0</v>
      </c>
      <c r="N51" s="87">
        <v>0</v>
      </c>
      <c r="O51" s="88">
        <f t="shared" si="11"/>
        <v>0</v>
      </c>
      <c r="P51" s="88">
        <f t="shared" si="12"/>
        <v>0</v>
      </c>
      <c r="Q51" s="88">
        <f t="shared" si="13"/>
        <v>0</v>
      </c>
      <c r="R51" s="88">
        <f t="shared" si="14"/>
        <v>0</v>
      </c>
      <c r="S51" s="87">
        <v>0</v>
      </c>
      <c r="T51" s="88">
        <f t="shared" si="15"/>
        <v>0</v>
      </c>
      <c r="U51" s="88">
        <f t="shared" si="16"/>
        <v>0</v>
      </c>
      <c r="V51" s="88">
        <f t="shared" si="17"/>
        <v>0</v>
      </c>
      <c r="W51" s="88">
        <f t="shared" si="18"/>
        <v>0</v>
      </c>
      <c r="X51" s="87">
        <v>0</v>
      </c>
      <c r="Y51" s="88">
        <f t="shared" si="19"/>
        <v>0</v>
      </c>
      <c r="Z51" s="88">
        <f t="shared" si="20"/>
        <v>0</v>
      </c>
      <c r="AA51" s="88">
        <f t="shared" si="21"/>
        <v>0</v>
      </c>
      <c r="AB51" s="88">
        <f t="shared" si="22"/>
        <v>0</v>
      </c>
      <c r="AC51" s="87">
        <f t="shared" si="23"/>
        <v>0</v>
      </c>
      <c r="AD51" s="88">
        <f t="shared" si="24"/>
        <v>0</v>
      </c>
      <c r="AE51" s="88">
        <f t="shared" si="25"/>
        <v>0</v>
      </c>
      <c r="AF51" s="88">
        <f t="shared" si="26"/>
        <v>0</v>
      </c>
      <c r="AG51" s="88">
        <f t="shared" si="27"/>
        <v>0</v>
      </c>
      <c r="AH51" s="87">
        <v>0</v>
      </c>
      <c r="AI51" s="88">
        <f t="shared" si="28"/>
        <v>0</v>
      </c>
      <c r="AJ51" s="88">
        <f t="shared" si="29"/>
        <v>0</v>
      </c>
      <c r="AK51" s="88">
        <f t="shared" si="30"/>
        <v>0</v>
      </c>
      <c r="AL51" s="88">
        <f t="shared" si="31"/>
        <v>0</v>
      </c>
      <c r="AM51" s="87">
        <f t="shared" si="32"/>
        <v>0</v>
      </c>
      <c r="AN51" s="88">
        <f t="shared" si="33"/>
        <v>0</v>
      </c>
      <c r="AO51" s="88">
        <f t="shared" si="34"/>
        <v>0</v>
      </c>
      <c r="AP51" s="88">
        <f t="shared" si="35"/>
        <v>0</v>
      </c>
      <c r="AQ51" s="88">
        <f t="shared" si="36"/>
        <v>0</v>
      </c>
      <c r="AR51" s="87">
        <v>0</v>
      </c>
      <c r="AS51" s="88">
        <f t="shared" si="37"/>
        <v>0</v>
      </c>
      <c r="AT51" s="88">
        <f t="shared" si="38"/>
        <v>0</v>
      </c>
      <c r="AU51" s="88">
        <f t="shared" si="39"/>
        <v>0</v>
      </c>
      <c r="AV51" s="88">
        <f t="shared" si="40"/>
        <v>0</v>
      </c>
      <c r="AW51" s="88">
        <f t="shared" si="41"/>
        <v>0</v>
      </c>
      <c r="AX51" s="88">
        <f t="shared" si="42"/>
        <v>0</v>
      </c>
      <c r="AY51" s="88">
        <f t="shared" si="43"/>
        <v>0</v>
      </c>
      <c r="AZ51" s="88">
        <f t="shared" si="44"/>
        <v>0</v>
      </c>
      <c r="BA51" s="88">
        <f t="shared" si="45"/>
        <v>0</v>
      </c>
      <c r="BB51" s="87">
        <v>0</v>
      </c>
      <c r="BC51" s="88">
        <f t="shared" si="46"/>
        <v>0</v>
      </c>
      <c r="BD51" s="88">
        <f t="shared" si="47"/>
        <v>0</v>
      </c>
      <c r="BE51" s="88">
        <f t="shared" si="48"/>
        <v>0</v>
      </c>
      <c r="BF51" s="88">
        <f t="shared" si="49"/>
        <v>0</v>
      </c>
      <c r="BG51" s="88">
        <f t="shared" si="50"/>
        <v>0</v>
      </c>
      <c r="BH51" s="88">
        <f t="shared" si="51"/>
        <v>0</v>
      </c>
      <c r="BI51" s="88">
        <f t="shared" si="52"/>
        <v>0</v>
      </c>
      <c r="BJ51" s="88">
        <f t="shared" si="53"/>
        <v>0</v>
      </c>
      <c r="BK51" s="88">
        <f t="shared" si="54"/>
        <v>0</v>
      </c>
      <c r="BL51" s="87">
        <v>0</v>
      </c>
      <c r="BM51" s="88">
        <f t="shared" si="55"/>
        <v>0</v>
      </c>
      <c r="BN51" s="88">
        <f t="shared" si="56"/>
        <v>0</v>
      </c>
      <c r="BO51" s="88">
        <f t="shared" si="57"/>
        <v>0</v>
      </c>
      <c r="BP51" s="88">
        <f t="shared" si="58"/>
        <v>0</v>
      </c>
      <c r="BQ51" s="88">
        <f t="shared" si="59"/>
        <v>0</v>
      </c>
      <c r="BR51" s="88">
        <f t="shared" si="60"/>
        <v>0</v>
      </c>
      <c r="BS51" s="88">
        <f t="shared" si="61"/>
        <v>0</v>
      </c>
      <c r="BT51" s="88">
        <f t="shared" si="62"/>
        <v>0</v>
      </c>
      <c r="BU51" s="88">
        <f t="shared" si="63"/>
        <v>0</v>
      </c>
      <c r="BV51" s="87">
        <v>0</v>
      </c>
      <c r="BW51" s="88">
        <f t="shared" si="64"/>
        <v>0</v>
      </c>
      <c r="BX51" s="88">
        <f t="shared" si="65"/>
        <v>0</v>
      </c>
      <c r="BY51" s="88">
        <f t="shared" si="66"/>
        <v>0</v>
      </c>
      <c r="BZ51" s="88">
        <f t="shared" si="67"/>
        <v>0</v>
      </c>
      <c r="CA51" s="87">
        <f t="shared" si="68"/>
        <v>0</v>
      </c>
      <c r="CB51" s="88">
        <f t="shared" si="69"/>
        <v>0</v>
      </c>
      <c r="CC51" s="88">
        <f t="shared" si="70"/>
        <v>0</v>
      </c>
      <c r="CD51" s="88">
        <f t="shared" si="71"/>
        <v>0</v>
      </c>
      <c r="CE51" s="88">
        <f t="shared" si="72"/>
        <v>0</v>
      </c>
      <c r="CF51" s="87">
        <v>0</v>
      </c>
      <c r="CG51" s="88">
        <f t="shared" si="73"/>
        <v>0</v>
      </c>
      <c r="CH51" s="88">
        <f t="shared" si="74"/>
        <v>0</v>
      </c>
      <c r="CI51" s="88">
        <f t="shared" si="75"/>
        <v>0</v>
      </c>
      <c r="CJ51" s="88">
        <f t="shared" si="76"/>
        <v>0</v>
      </c>
      <c r="CK51" s="87">
        <f t="shared" si="77"/>
        <v>0</v>
      </c>
      <c r="CL51" s="88">
        <f t="shared" si="78"/>
        <v>0</v>
      </c>
      <c r="CM51" s="88">
        <f t="shared" si="79"/>
        <v>0</v>
      </c>
      <c r="CN51" s="88">
        <f t="shared" si="80"/>
        <v>0</v>
      </c>
      <c r="CO51" s="88">
        <f t="shared" si="81"/>
        <v>0</v>
      </c>
      <c r="CP51" s="88">
        <v>0</v>
      </c>
      <c r="CQ51" s="88">
        <f t="shared" si="82"/>
        <v>0</v>
      </c>
      <c r="CR51" s="88">
        <f t="shared" si="83"/>
        <v>0</v>
      </c>
      <c r="CS51" s="88">
        <f t="shared" si="84"/>
        <v>0</v>
      </c>
      <c r="CT51" s="88">
        <f t="shared" si="85"/>
        <v>0</v>
      </c>
      <c r="CU51" s="88">
        <f t="shared" si="86"/>
        <v>0</v>
      </c>
      <c r="CV51" s="88">
        <f t="shared" si="87"/>
        <v>0</v>
      </c>
      <c r="CW51" s="88">
        <f t="shared" si="88"/>
        <v>0</v>
      </c>
      <c r="CX51" s="88">
        <f t="shared" si="89"/>
        <v>0</v>
      </c>
      <c r="CY51" s="89">
        <v>0</v>
      </c>
      <c r="CZ51" s="1"/>
    </row>
    <row r="52" spans="2:104" hidden="1" x14ac:dyDescent="0.25">
      <c r="B52" s="58"/>
      <c r="C52" s="77">
        <f t="shared" si="90"/>
        <v>3000</v>
      </c>
      <c r="D52" s="87">
        <v>0</v>
      </c>
      <c r="E52" s="88">
        <f t="shared" si="2"/>
        <v>0</v>
      </c>
      <c r="F52" s="88">
        <f t="shared" si="3"/>
        <v>0</v>
      </c>
      <c r="G52" s="88">
        <f t="shared" si="4"/>
        <v>0</v>
      </c>
      <c r="H52" s="88">
        <f t="shared" si="5"/>
        <v>0</v>
      </c>
      <c r="I52" s="87">
        <f t="shared" si="6"/>
        <v>0</v>
      </c>
      <c r="J52" s="88">
        <f t="shared" si="7"/>
        <v>0</v>
      </c>
      <c r="K52" s="88">
        <f t="shared" si="8"/>
        <v>0</v>
      </c>
      <c r="L52" s="88">
        <f t="shared" si="9"/>
        <v>0</v>
      </c>
      <c r="M52" s="88">
        <f t="shared" si="10"/>
        <v>0</v>
      </c>
      <c r="N52" s="87">
        <v>0</v>
      </c>
      <c r="O52" s="88">
        <f t="shared" si="11"/>
        <v>0</v>
      </c>
      <c r="P52" s="88">
        <f t="shared" si="12"/>
        <v>0</v>
      </c>
      <c r="Q52" s="88">
        <f t="shared" si="13"/>
        <v>0</v>
      </c>
      <c r="R52" s="88">
        <f t="shared" si="14"/>
        <v>0</v>
      </c>
      <c r="S52" s="87">
        <v>0</v>
      </c>
      <c r="T52" s="88">
        <f t="shared" si="15"/>
        <v>0</v>
      </c>
      <c r="U52" s="88">
        <f t="shared" si="16"/>
        <v>0</v>
      </c>
      <c r="V52" s="88">
        <f t="shared" si="17"/>
        <v>0</v>
      </c>
      <c r="W52" s="88">
        <f t="shared" si="18"/>
        <v>0</v>
      </c>
      <c r="X52" s="87">
        <v>0</v>
      </c>
      <c r="Y52" s="88">
        <f t="shared" si="19"/>
        <v>0</v>
      </c>
      <c r="Z52" s="88">
        <f t="shared" si="20"/>
        <v>0</v>
      </c>
      <c r="AA52" s="88">
        <f t="shared" si="21"/>
        <v>0</v>
      </c>
      <c r="AB52" s="88">
        <f t="shared" si="22"/>
        <v>0</v>
      </c>
      <c r="AC52" s="87">
        <f t="shared" si="23"/>
        <v>0</v>
      </c>
      <c r="AD52" s="88">
        <f t="shared" si="24"/>
        <v>0</v>
      </c>
      <c r="AE52" s="88">
        <f t="shared" si="25"/>
        <v>0</v>
      </c>
      <c r="AF52" s="88">
        <f t="shared" si="26"/>
        <v>0</v>
      </c>
      <c r="AG52" s="88">
        <f t="shared" si="27"/>
        <v>0</v>
      </c>
      <c r="AH52" s="87">
        <v>0</v>
      </c>
      <c r="AI52" s="88">
        <f t="shared" si="28"/>
        <v>0</v>
      </c>
      <c r="AJ52" s="88">
        <f t="shared" si="29"/>
        <v>0</v>
      </c>
      <c r="AK52" s="88">
        <f t="shared" si="30"/>
        <v>0</v>
      </c>
      <c r="AL52" s="88">
        <f t="shared" si="31"/>
        <v>0</v>
      </c>
      <c r="AM52" s="87">
        <f t="shared" si="32"/>
        <v>0</v>
      </c>
      <c r="AN52" s="88">
        <f t="shared" si="33"/>
        <v>0</v>
      </c>
      <c r="AO52" s="88">
        <f t="shared" si="34"/>
        <v>0</v>
      </c>
      <c r="AP52" s="88">
        <f t="shared" si="35"/>
        <v>0</v>
      </c>
      <c r="AQ52" s="88">
        <f t="shared" si="36"/>
        <v>0</v>
      </c>
      <c r="AR52" s="87">
        <v>0</v>
      </c>
      <c r="AS52" s="88">
        <f t="shared" si="37"/>
        <v>0</v>
      </c>
      <c r="AT52" s="88">
        <f t="shared" si="38"/>
        <v>0</v>
      </c>
      <c r="AU52" s="88">
        <f t="shared" si="39"/>
        <v>0</v>
      </c>
      <c r="AV52" s="88">
        <f t="shared" si="40"/>
        <v>0</v>
      </c>
      <c r="AW52" s="88">
        <f t="shared" si="41"/>
        <v>0</v>
      </c>
      <c r="AX52" s="88">
        <f t="shared" si="42"/>
        <v>0</v>
      </c>
      <c r="AY52" s="88">
        <f t="shared" si="43"/>
        <v>0</v>
      </c>
      <c r="AZ52" s="88">
        <f t="shared" si="44"/>
        <v>0</v>
      </c>
      <c r="BA52" s="88">
        <f t="shared" si="45"/>
        <v>0</v>
      </c>
      <c r="BB52" s="87">
        <v>0</v>
      </c>
      <c r="BC52" s="88">
        <f t="shared" si="46"/>
        <v>0</v>
      </c>
      <c r="BD52" s="88">
        <f t="shared" si="47"/>
        <v>0</v>
      </c>
      <c r="BE52" s="88">
        <f t="shared" si="48"/>
        <v>0</v>
      </c>
      <c r="BF52" s="88">
        <f t="shared" si="49"/>
        <v>0</v>
      </c>
      <c r="BG52" s="88">
        <f t="shared" si="50"/>
        <v>0</v>
      </c>
      <c r="BH52" s="88">
        <f t="shared" si="51"/>
        <v>0</v>
      </c>
      <c r="BI52" s="88">
        <f t="shared" si="52"/>
        <v>0</v>
      </c>
      <c r="BJ52" s="88">
        <f t="shared" si="53"/>
        <v>0</v>
      </c>
      <c r="BK52" s="88">
        <f t="shared" si="54"/>
        <v>0</v>
      </c>
      <c r="BL52" s="87">
        <v>0</v>
      </c>
      <c r="BM52" s="88">
        <f t="shared" si="55"/>
        <v>0</v>
      </c>
      <c r="BN52" s="88">
        <f t="shared" si="56"/>
        <v>0</v>
      </c>
      <c r="BO52" s="88">
        <f t="shared" si="57"/>
        <v>0</v>
      </c>
      <c r="BP52" s="88">
        <f t="shared" si="58"/>
        <v>0</v>
      </c>
      <c r="BQ52" s="88">
        <f t="shared" si="59"/>
        <v>0</v>
      </c>
      <c r="BR52" s="88">
        <f t="shared" si="60"/>
        <v>0</v>
      </c>
      <c r="BS52" s="88">
        <f t="shared" si="61"/>
        <v>0</v>
      </c>
      <c r="BT52" s="88">
        <f t="shared" si="62"/>
        <v>0</v>
      </c>
      <c r="BU52" s="88">
        <f t="shared" si="63"/>
        <v>0</v>
      </c>
      <c r="BV52" s="87">
        <v>0</v>
      </c>
      <c r="BW52" s="88">
        <f t="shared" si="64"/>
        <v>0</v>
      </c>
      <c r="BX52" s="88">
        <f t="shared" si="65"/>
        <v>0</v>
      </c>
      <c r="BY52" s="88">
        <f t="shared" si="66"/>
        <v>0</v>
      </c>
      <c r="BZ52" s="88">
        <f t="shared" si="67"/>
        <v>0</v>
      </c>
      <c r="CA52" s="87">
        <f t="shared" si="68"/>
        <v>0</v>
      </c>
      <c r="CB52" s="88">
        <f t="shared" si="69"/>
        <v>0</v>
      </c>
      <c r="CC52" s="88">
        <f t="shared" si="70"/>
        <v>0</v>
      </c>
      <c r="CD52" s="88">
        <f t="shared" si="71"/>
        <v>0</v>
      </c>
      <c r="CE52" s="88">
        <f t="shared" si="72"/>
        <v>0</v>
      </c>
      <c r="CF52" s="87">
        <v>0</v>
      </c>
      <c r="CG52" s="88">
        <f t="shared" si="73"/>
        <v>0</v>
      </c>
      <c r="CH52" s="88">
        <f t="shared" si="74"/>
        <v>0</v>
      </c>
      <c r="CI52" s="88">
        <f t="shared" si="75"/>
        <v>0</v>
      </c>
      <c r="CJ52" s="88">
        <f t="shared" si="76"/>
        <v>0</v>
      </c>
      <c r="CK52" s="87">
        <f t="shared" si="77"/>
        <v>0</v>
      </c>
      <c r="CL52" s="88">
        <f t="shared" si="78"/>
        <v>0</v>
      </c>
      <c r="CM52" s="88">
        <f t="shared" si="79"/>
        <v>0</v>
      </c>
      <c r="CN52" s="88">
        <f t="shared" si="80"/>
        <v>0</v>
      </c>
      <c r="CO52" s="88">
        <f t="shared" si="81"/>
        <v>0</v>
      </c>
      <c r="CP52" s="88">
        <v>0</v>
      </c>
      <c r="CQ52" s="88">
        <f t="shared" si="82"/>
        <v>0</v>
      </c>
      <c r="CR52" s="88">
        <f t="shared" si="83"/>
        <v>0</v>
      </c>
      <c r="CS52" s="88">
        <f t="shared" si="84"/>
        <v>0</v>
      </c>
      <c r="CT52" s="88">
        <f t="shared" si="85"/>
        <v>0</v>
      </c>
      <c r="CU52" s="88">
        <f t="shared" si="86"/>
        <v>0</v>
      </c>
      <c r="CV52" s="88">
        <f t="shared" si="87"/>
        <v>0</v>
      </c>
      <c r="CW52" s="88">
        <f t="shared" si="88"/>
        <v>0</v>
      </c>
      <c r="CX52" s="88">
        <f t="shared" si="89"/>
        <v>0</v>
      </c>
      <c r="CY52" s="89">
        <v>0</v>
      </c>
      <c r="CZ52" s="1"/>
    </row>
    <row r="53" spans="2:104" hidden="1" x14ac:dyDescent="0.25">
      <c r="B53" s="58"/>
      <c r="C53" s="77">
        <f t="shared" si="90"/>
        <v>3500</v>
      </c>
      <c r="D53" s="87">
        <v>0</v>
      </c>
      <c r="E53" s="88">
        <f t="shared" si="2"/>
        <v>0</v>
      </c>
      <c r="F53" s="88">
        <f t="shared" si="3"/>
        <v>0</v>
      </c>
      <c r="G53" s="88">
        <f t="shared" si="4"/>
        <v>0</v>
      </c>
      <c r="H53" s="88">
        <f t="shared" si="5"/>
        <v>0</v>
      </c>
      <c r="I53" s="87">
        <f t="shared" si="6"/>
        <v>0</v>
      </c>
      <c r="J53" s="88">
        <f t="shared" si="7"/>
        <v>0</v>
      </c>
      <c r="K53" s="88">
        <f t="shared" si="8"/>
        <v>0</v>
      </c>
      <c r="L53" s="88">
        <f t="shared" si="9"/>
        <v>0</v>
      </c>
      <c r="M53" s="88">
        <f t="shared" si="10"/>
        <v>0</v>
      </c>
      <c r="N53" s="87">
        <v>0</v>
      </c>
      <c r="O53" s="88">
        <f t="shared" si="11"/>
        <v>0</v>
      </c>
      <c r="P53" s="88">
        <f t="shared" si="12"/>
        <v>0</v>
      </c>
      <c r="Q53" s="88">
        <f t="shared" si="13"/>
        <v>0</v>
      </c>
      <c r="R53" s="88">
        <f t="shared" si="14"/>
        <v>0</v>
      </c>
      <c r="S53" s="87">
        <v>0</v>
      </c>
      <c r="T53" s="88">
        <f t="shared" si="15"/>
        <v>0</v>
      </c>
      <c r="U53" s="88">
        <f t="shared" si="16"/>
        <v>0</v>
      </c>
      <c r="V53" s="88">
        <f t="shared" si="17"/>
        <v>0</v>
      </c>
      <c r="W53" s="88">
        <f t="shared" si="18"/>
        <v>0</v>
      </c>
      <c r="X53" s="87">
        <v>0</v>
      </c>
      <c r="Y53" s="88">
        <f t="shared" si="19"/>
        <v>0</v>
      </c>
      <c r="Z53" s="88">
        <f t="shared" si="20"/>
        <v>0</v>
      </c>
      <c r="AA53" s="88">
        <f t="shared" si="21"/>
        <v>0</v>
      </c>
      <c r="AB53" s="88">
        <f t="shared" si="22"/>
        <v>0</v>
      </c>
      <c r="AC53" s="87">
        <f t="shared" si="23"/>
        <v>0</v>
      </c>
      <c r="AD53" s="88">
        <f t="shared" si="24"/>
        <v>0</v>
      </c>
      <c r="AE53" s="88">
        <f t="shared" si="25"/>
        <v>0</v>
      </c>
      <c r="AF53" s="88">
        <f t="shared" si="26"/>
        <v>0</v>
      </c>
      <c r="AG53" s="88">
        <f t="shared" si="27"/>
        <v>0</v>
      </c>
      <c r="AH53" s="87">
        <v>0</v>
      </c>
      <c r="AI53" s="88">
        <f t="shared" si="28"/>
        <v>0</v>
      </c>
      <c r="AJ53" s="88">
        <f t="shared" si="29"/>
        <v>0</v>
      </c>
      <c r="AK53" s="88">
        <f t="shared" si="30"/>
        <v>0</v>
      </c>
      <c r="AL53" s="88">
        <f t="shared" si="31"/>
        <v>0</v>
      </c>
      <c r="AM53" s="87">
        <f t="shared" si="32"/>
        <v>0</v>
      </c>
      <c r="AN53" s="88">
        <f t="shared" si="33"/>
        <v>0</v>
      </c>
      <c r="AO53" s="88">
        <f t="shared" si="34"/>
        <v>0</v>
      </c>
      <c r="AP53" s="88">
        <f t="shared" si="35"/>
        <v>0</v>
      </c>
      <c r="AQ53" s="88">
        <f t="shared" si="36"/>
        <v>0</v>
      </c>
      <c r="AR53" s="87">
        <v>0</v>
      </c>
      <c r="AS53" s="88">
        <f t="shared" si="37"/>
        <v>0</v>
      </c>
      <c r="AT53" s="88">
        <f t="shared" si="38"/>
        <v>0</v>
      </c>
      <c r="AU53" s="88">
        <f t="shared" si="39"/>
        <v>0</v>
      </c>
      <c r="AV53" s="88">
        <f t="shared" si="40"/>
        <v>0</v>
      </c>
      <c r="AW53" s="88">
        <f t="shared" si="41"/>
        <v>0</v>
      </c>
      <c r="AX53" s="88">
        <f t="shared" si="42"/>
        <v>0</v>
      </c>
      <c r="AY53" s="88">
        <f t="shared" si="43"/>
        <v>0</v>
      </c>
      <c r="AZ53" s="88">
        <f t="shared" si="44"/>
        <v>0</v>
      </c>
      <c r="BA53" s="88">
        <f t="shared" si="45"/>
        <v>0</v>
      </c>
      <c r="BB53" s="87">
        <v>0</v>
      </c>
      <c r="BC53" s="88">
        <f t="shared" si="46"/>
        <v>0</v>
      </c>
      <c r="BD53" s="88">
        <f t="shared" si="47"/>
        <v>0</v>
      </c>
      <c r="BE53" s="88">
        <f t="shared" si="48"/>
        <v>0</v>
      </c>
      <c r="BF53" s="88">
        <f t="shared" si="49"/>
        <v>0</v>
      </c>
      <c r="BG53" s="88">
        <f t="shared" si="50"/>
        <v>0</v>
      </c>
      <c r="BH53" s="88">
        <f t="shared" si="51"/>
        <v>0</v>
      </c>
      <c r="BI53" s="88">
        <f t="shared" si="52"/>
        <v>0</v>
      </c>
      <c r="BJ53" s="88">
        <f t="shared" si="53"/>
        <v>0</v>
      </c>
      <c r="BK53" s="88">
        <f t="shared" si="54"/>
        <v>0</v>
      </c>
      <c r="BL53" s="87">
        <v>0</v>
      </c>
      <c r="BM53" s="88">
        <f t="shared" si="55"/>
        <v>0</v>
      </c>
      <c r="BN53" s="88">
        <f t="shared" si="56"/>
        <v>0</v>
      </c>
      <c r="BO53" s="88">
        <f t="shared" si="57"/>
        <v>0</v>
      </c>
      <c r="BP53" s="88">
        <f t="shared" si="58"/>
        <v>0</v>
      </c>
      <c r="BQ53" s="88">
        <f t="shared" si="59"/>
        <v>0</v>
      </c>
      <c r="BR53" s="88">
        <f t="shared" si="60"/>
        <v>0</v>
      </c>
      <c r="BS53" s="88">
        <f t="shared" si="61"/>
        <v>0</v>
      </c>
      <c r="BT53" s="88">
        <f t="shared" si="62"/>
        <v>0</v>
      </c>
      <c r="BU53" s="88">
        <f t="shared" si="63"/>
        <v>0</v>
      </c>
      <c r="BV53" s="87">
        <v>0</v>
      </c>
      <c r="BW53" s="88">
        <f t="shared" si="64"/>
        <v>0</v>
      </c>
      <c r="BX53" s="88">
        <f t="shared" si="65"/>
        <v>0</v>
      </c>
      <c r="BY53" s="88">
        <f t="shared" si="66"/>
        <v>0</v>
      </c>
      <c r="BZ53" s="88">
        <f t="shared" si="67"/>
        <v>0</v>
      </c>
      <c r="CA53" s="87">
        <f t="shared" si="68"/>
        <v>0</v>
      </c>
      <c r="CB53" s="88">
        <f t="shared" si="69"/>
        <v>0</v>
      </c>
      <c r="CC53" s="88">
        <f t="shared" si="70"/>
        <v>0</v>
      </c>
      <c r="CD53" s="88">
        <f t="shared" si="71"/>
        <v>0</v>
      </c>
      <c r="CE53" s="88">
        <f t="shared" si="72"/>
        <v>0</v>
      </c>
      <c r="CF53" s="87">
        <v>0</v>
      </c>
      <c r="CG53" s="88">
        <f t="shared" si="73"/>
        <v>0</v>
      </c>
      <c r="CH53" s="88">
        <f t="shared" si="74"/>
        <v>0</v>
      </c>
      <c r="CI53" s="88">
        <f t="shared" si="75"/>
        <v>0</v>
      </c>
      <c r="CJ53" s="88">
        <f t="shared" si="76"/>
        <v>0</v>
      </c>
      <c r="CK53" s="87">
        <f t="shared" si="77"/>
        <v>0</v>
      </c>
      <c r="CL53" s="88">
        <f t="shared" si="78"/>
        <v>0</v>
      </c>
      <c r="CM53" s="88">
        <f t="shared" si="79"/>
        <v>0</v>
      </c>
      <c r="CN53" s="88">
        <f t="shared" si="80"/>
        <v>0</v>
      </c>
      <c r="CO53" s="88">
        <f t="shared" si="81"/>
        <v>0</v>
      </c>
      <c r="CP53" s="88">
        <v>0</v>
      </c>
      <c r="CQ53" s="88">
        <f t="shared" si="82"/>
        <v>0</v>
      </c>
      <c r="CR53" s="88">
        <f t="shared" si="83"/>
        <v>0</v>
      </c>
      <c r="CS53" s="88">
        <f t="shared" si="84"/>
        <v>0</v>
      </c>
      <c r="CT53" s="88">
        <f t="shared" si="85"/>
        <v>0</v>
      </c>
      <c r="CU53" s="88">
        <f t="shared" si="86"/>
        <v>0</v>
      </c>
      <c r="CV53" s="88">
        <f t="shared" si="87"/>
        <v>0</v>
      </c>
      <c r="CW53" s="88">
        <f t="shared" si="88"/>
        <v>0</v>
      </c>
      <c r="CX53" s="88">
        <f t="shared" si="89"/>
        <v>0</v>
      </c>
      <c r="CY53" s="89">
        <v>0</v>
      </c>
      <c r="CZ53" s="1"/>
    </row>
    <row r="54" spans="2:104" hidden="1" x14ac:dyDescent="0.25">
      <c r="B54" s="58"/>
      <c r="C54" s="77">
        <f t="shared" si="90"/>
        <v>4000</v>
      </c>
      <c r="D54" s="87">
        <v>0</v>
      </c>
      <c r="E54" s="88">
        <f t="shared" si="2"/>
        <v>0</v>
      </c>
      <c r="F54" s="88">
        <f t="shared" si="3"/>
        <v>0</v>
      </c>
      <c r="G54" s="88">
        <f t="shared" si="4"/>
        <v>0</v>
      </c>
      <c r="H54" s="88">
        <f t="shared" si="5"/>
        <v>0</v>
      </c>
      <c r="I54" s="87">
        <f t="shared" si="6"/>
        <v>0</v>
      </c>
      <c r="J54" s="88">
        <f t="shared" si="7"/>
        <v>0</v>
      </c>
      <c r="K54" s="88">
        <f t="shared" si="8"/>
        <v>0</v>
      </c>
      <c r="L54" s="88">
        <f t="shared" si="9"/>
        <v>0</v>
      </c>
      <c r="M54" s="88">
        <f t="shared" si="10"/>
        <v>0</v>
      </c>
      <c r="N54" s="87">
        <v>0</v>
      </c>
      <c r="O54" s="88">
        <f t="shared" si="11"/>
        <v>0</v>
      </c>
      <c r="P54" s="88">
        <f t="shared" si="12"/>
        <v>0</v>
      </c>
      <c r="Q54" s="88">
        <f t="shared" si="13"/>
        <v>0</v>
      </c>
      <c r="R54" s="88">
        <f t="shared" si="14"/>
        <v>0</v>
      </c>
      <c r="S54" s="87">
        <v>0</v>
      </c>
      <c r="T54" s="88">
        <f t="shared" si="15"/>
        <v>0</v>
      </c>
      <c r="U54" s="88">
        <f t="shared" si="16"/>
        <v>0</v>
      </c>
      <c r="V54" s="88">
        <f t="shared" si="17"/>
        <v>0</v>
      </c>
      <c r="W54" s="88">
        <f t="shared" si="18"/>
        <v>0</v>
      </c>
      <c r="X54" s="87">
        <v>0</v>
      </c>
      <c r="Y54" s="88">
        <f t="shared" si="19"/>
        <v>0</v>
      </c>
      <c r="Z54" s="88">
        <f t="shared" si="20"/>
        <v>0</v>
      </c>
      <c r="AA54" s="88">
        <f t="shared" si="21"/>
        <v>0</v>
      </c>
      <c r="AB54" s="88">
        <f t="shared" si="22"/>
        <v>0</v>
      </c>
      <c r="AC54" s="87">
        <f t="shared" si="23"/>
        <v>0</v>
      </c>
      <c r="AD54" s="88">
        <f t="shared" si="24"/>
        <v>0</v>
      </c>
      <c r="AE54" s="88">
        <f t="shared" si="25"/>
        <v>0</v>
      </c>
      <c r="AF54" s="88">
        <f t="shared" si="26"/>
        <v>0</v>
      </c>
      <c r="AG54" s="88">
        <f t="shared" si="27"/>
        <v>0</v>
      </c>
      <c r="AH54" s="87">
        <v>0</v>
      </c>
      <c r="AI54" s="88">
        <f t="shared" si="28"/>
        <v>0</v>
      </c>
      <c r="AJ54" s="88">
        <f t="shared" si="29"/>
        <v>0</v>
      </c>
      <c r="AK54" s="88">
        <f t="shared" si="30"/>
        <v>0</v>
      </c>
      <c r="AL54" s="88">
        <f t="shared" si="31"/>
        <v>0</v>
      </c>
      <c r="AM54" s="87">
        <f t="shared" si="32"/>
        <v>0</v>
      </c>
      <c r="AN54" s="88">
        <f t="shared" si="33"/>
        <v>0</v>
      </c>
      <c r="AO54" s="88">
        <f t="shared" si="34"/>
        <v>0</v>
      </c>
      <c r="AP54" s="88">
        <f t="shared" si="35"/>
        <v>0</v>
      </c>
      <c r="AQ54" s="88">
        <f t="shared" si="36"/>
        <v>0</v>
      </c>
      <c r="AR54" s="87">
        <v>0</v>
      </c>
      <c r="AS54" s="88">
        <f t="shared" si="37"/>
        <v>0</v>
      </c>
      <c r="AT54" s="88">
        <f t="shared" si="38"/>
        <v>0</v>
      </c>
      <c r="AU54" s="88">
        <f t="shared" si="39"/>
        <v>0</v>
      </c>
      <c r="AV54" s="88">
        <f t="shared" si="40"/>
        <v>0</v>
      </c>
      <c r="AW54" s="88">
        <f t="shared" si="41"/>
        <v>0</v>
      </c>
      <c r="AX54" s="88">
        <f t="shared" si="42"/>
        <v>0</v>
      </c>
      <c r="AY54" s="88">
        <f t="shared" si="43"/>
        <v>0</v>
      </c>
      <c r="AZ54" s="88">
        <f t="shared" si="44"/>
        <v>0</v>
      </c>
      <c r="BA54" s="88">
        <f t="shared" si="45"/>
        <v>0</v>
      </c>
      <c r="BB54" s="87">
        <v>0</v>
      </c>
      <c r="BC54" s="88">
        <f t="shared" si="46"/>
        <v>0</v>
      </c>
      <c r="BD54" s="88">
        <f t="shared" si="47"/>
        <v>0</v>
      </c>
      <c r="BE54" s="88">
        <f t="shared" si="48"/>
        <v>0</v>
      </c>
      <c r="BF54" s="88">
        <f t="shared" si="49"/>
        <v>0</v>
      </c>
      <c r="BG54" s="88">
        <f t="shared" si="50"/>
        <v>0</v>
      </c>
      <c r="BH54" s="88">
        <f t="shared" si="51"/>
        <v>0</v>
      </c>
      <c r="BI54" s="88">
        <f t="shared" si="52"/>
        <v>0</v>
      </c>
      <c r="BJ54" s="88">
        <f t="shared" si="53"/>
        <v>0</v>
      </c>
      <c r="BK54" s="88">
        <f t="shared" si="54"/>
        <v>0</v>
      </c>
      <c r="BL54" s="87">
        <v>0</v>
      </c>
      <c r="BM54" s="88">
        <f t="shared" si="55"/>
        <v>0</v>
      </c>
      <c r="BN54" s="88">
        <f t="shared" si="56"/>
        <v>0</v>
      </c>
      <c r="BO54" s="88">
        <f t="shared" si="57"/>
        <v>0</v>
      </c>
      <c r="BP54" s="88">
        <f t="shared" si="58"/>
        <v>0</v>
      </c>
      <c r="BQ54" s="88">
        <f t="shared" si="59"/>
        <v>0</v>
      </c>
      <c r="BR54" s="88">
        <f t="shared" si="60"/>
        <v>0</v>
      </c>
      <c r="BS54" s="88">
        <f t="shared" si="61"/>
        <v>0</v>
      </c>
      <c r="BT54" s="88">
        <f t="shared" si="62"/>
        <v>0</v>
      </c>
      <c r="BU54" s="88">
        <f t="shared" si="63"/>
        <v>0</v>
      </c>
      <c r="BV54" s="87">
        <v>0</v>
      </c>
      <c r="BW54" s="88">
        <f t="shared" si="64"/>
        <v>0</v>
      </c>
      <c r="BX54" s="88">
        <f t="shared" si="65"/>
        <v>0</v>
      </c>
      <c r="BY54" s="88">
        <f t="shared" si="66"/>
        <v>0</v>
      </c>
      <c r="BZ54" s="88">
        <f t="shared" si="67"/>
        <v>0</v>
      </c>
      <c r="CA54" s="87">
        <f t="shared" si="68"/>
        <v>0</v>
      </c>
      <c r="CB54" s="88">
        <f t="shared" si="69"/>
        <v>0</v>
      </c>
      <c r="CC54" s="88">
        <f t="shared" si="70"/>
        <v>0</v>
      </c>
      <c r="CD54" s="88">
        <f t="shared" si="71"/>
        <v>0</v>
      </c>
      <c r="CE54" s="88">
        <f t="shared" si="72"/>
        <v>0</v>
      </c>
      <c r="CF54" s="87">
        <v>0</v>
      </c>
      <c r="CG54" s="88">
        <f t="shared" si="73"/>
        <v>0</v>
      </c>
      <c r="CH54" s="88">
        <f t="shared" si="74"/>
        <v>0</v>
      </c>
      <c r="CI54" s="88">
        <f t="shared" si="75"/>
        <v>0</v>
      </c>
      <c r="CJ54" s="88">
        <f t="shared" si="76"/>
        <v>0</v>
      </c>
      <c r="CK54" s="87">
        <f t="shared" si="77"/>
        <v>0</v>
      </c>
      <c r="CL54" s="88">
        <f t="shared" si="78"/>
        <v>0</v>
      </c>
      <c r="CM54" s="88">
        <f t="shared" si="79"/>
        <v>0</v>
      </c>
      <c r="CN54" s="88">
        <f t="shared" si="80"/>
        <v>0</v>
      </c>
      <c r="CO54" s="88">
        <f t="shared" si="81"/>
        <v>0</v>
      </c>
      <c r="CP54" s="88">
        <v>0</v>
      </c>
      <c r="CQ54" s="88">
        <f t="shared" si="82"/>
        <v>0</v>
      </c>
      <c r="CR54" s="88">
        <f t="shared" si="83"/>
        <v>0</v>
      </c>
      <c r="CS54" s="88">
        <f t="shared" si="84"/>
        <v>0</v>
      </c>
      <c r="CT54" s="88">
        <f t="shared" si="85"/>
        <v>0</v>
      </c>
      <c r="CU54" s="88">
        <f t="shared" si="86"/>
        <v>0</v>
      </c>
      <c r="CV54" s="88">
        <f t="shared" si="87"/>
        <v>0</v>
      </c>
      <c r="CW54" s="88">
        <f t="shared" si="88"/>
        <v>0</v>
      </c>
      <c r="CX54" s="88">
        <f t="shared" si="89"/>
        <v>0</v>
      </c>
      <c r="CY54" s="89">
        <v>0</v>
      </c>
      <c r="CZ54" s="1"/>
    </row>
    <row r="55" spans="2:104" hidden="1" x14ac:dyDescent="0.25">
      <c r="B55" s="58"/>
      <c r="C55" s="77">
        <f t="shared" si="90"/>
        <v>4500</v>
      </c>
      <c r="D55" s="87">
        <v>0</v>
      </c>
      <c r="E55" s="88">
        <f t="shared" si="2"/>
        <v>0</v>
      </c>
      <c r="F55" s="88">
        <f t="shared" si="3"/>
        <v>0</v>
      </c>
      <c r="G55" s="88">
        <f t="shared" si="4"/>
        <v>0</v>
      </c>
      <c r="H55" s="88">
        <f t="shared" si="5"/>
        <v>0</v>
      </c>
      <c r="I55" s="87">
        <f t="shared" si="6"/>
        <v>0</v>
      </c>
      <c r="J55" s="88">
        <f t="shared" si="7"/>
        <v>0</v>
      </c>
      <c r="K55" s="88">
        <f t="shared" si="8"/>
        <v>0</v>
      </c>
      <c r="L55" s="88">
        <f t="shared" si="9"/>
        <v>0</v>
      </c>
      <c r="M55" s="88">
        <f t="shared" si="10"/>
        <v>0</v>
      </c>
      <c r="N55" s="87">
        <v>0</v>
      </c>
      <c r="O55" s="88">
        <f t="shared" si="11"/>
        <v>0</v>
      </c>
      <c r="P55" s="88">
        <f t="shared" si="12"/>
        <v>0</v>
      </c>
      <c r="Q55" s="88">
        <f t="shared" si="13"/>
        <v>0</v>
      </c>
      <c r="R55" s="88">
        <f t="shared" si="14"/>
        <v>0</v>
      </c>
      <c r="S55" s="87">
        <v>0</v>
      </c>
      <c r="T55" s="88">
        <f t="shared" si="15"/>
        <v>0</v>
      </c>
      <c r="U55" s="88">
        <f t="shared" si="16"/>
        <v>0</v>
      </c>
      <c r="V55" s="88">
        <f t="shared" si="17"/>
        <v>0</v>
      </c>
      <c r="W55" s="88">
        <f t="shared" si="18"/>
        <v>0</v>
      </c>
      <c r="X55" s="87">
        <v>0</v>
      </c>
      <c r="Y55" s="88">
        <f t="shared" si="19"/>
        <v>0</v>
      </c>
      <c r="Z55" s="88">
        <f t="shared" si="20"/>
        <v>0</v>
      </c>
      <c r="AA55" s="88">
        <f t="shared" si="21"/>
        <v>0</v>
      </c>
      <c r="AB55" s="88">
        <f t="shared" si="22"/>
        <v>0</v>
      </c>
      <c r="AC55" s="87">
        <f t="shared" si="23"/>
        <v>0</v>
      </c>
      <c r="AD55" s="88">
        <f t="shared" si="24"/>
        <v>0</v>
      </c>
      <c r="AE55" s="88">
        <f t="shared" si="25"/>
        <v>0</v>
      </c>
      <c r="AF55" s="88">
        <f t="shared" si="26"/>
        <v>0</v>
      </c>
      <c r="AG55" s="88">
        <f t="shared" si="27"/>
        <v>0</v>
      </c>
      <c r="AH55" s="87">
        <v>0</v>
      </c>
      <c r="AI55" s="88">
        <f t="shared" si="28"/>
        <v>0</v>
      </c>
      <c r="AJ55" s="88">
        <f t="shared" si="29"/>
        <v>0</v>
      </c>
      <c r="AK55" s="88">
        <f t="shared" si="30"/>
        <v>0</v>
      </c>
      <c r="AL55" s="88">
        <f t="shared" si="31"/>
        <v>0</v>
      </c>
      <c r="AM55" s="87">
        <f t="shared" si="32"/>
        <v>0</v>
      </c>
      <c r="AN55" s="88">
        <f t="shared" si="33"/>
        <v>0</v>
      </c>
      <c r="AO55" s="88">
        <f t="shared" si="34"/>
        <v>0</v>
      </c>
      <c r="AP55" s="88">
        <f t="shared" si="35"/>
        <v>0</v>
      </c>
      <c r="AQ55" s="88">
        <f t="shared" si="36"/>
        <v>0</v>
      </c>
      <c r="AR55" s="87">
        <v>0</v>
      </c>
      <c r="AS55" s="88">
        <f t="shared" si="37"/>
        <v>0</v>
      </c>
      <c r="AT55" s="88">
        <f t="shared" si="38"/>
        <v>0</v>
      </c>
      <c r="AU55" s="88">
        <f t="shared" si="39"/>
        <v>0</v>
      </c>
      <c r="AV55" s="88">
        <f t="shared" si="40"/>
        <v>0</v>
      </c>
      <c r="AW55" s="88">
        <f t="shared" si="41"/>
        <v>0</v>
      </c>
      <c r="AX55" s="88">
        <f t="shared" si="42"/>
        <v>0</v>
      </c>
      <c r="AY55" s="88">
        <f t="shared" si="43"/>
        <v>0</v>
      </c>
      <c r="AZ55" s="88">
        <f t="shared" si="44"/>
        <v>0</v>
      </c>
      <c r="BA55" s="88">
        <f t="shared" si="45"/>
        <v>0</v>
      </c>
      <c r="BB55" s="87">
        <v>0</v>
      </c>
      <c r="BC55" s="88">
        <f t="shared" si="46"/>
        <v>0</v>
      </c>
      <c r="BD55" s="88">
        <f t="shared" si="47"/>
        <v>0</v>
      </c>
      <c r="BE55" s="88">
        <f t="shared" si="48"/>
        <v>0</v>
      </c>
      <c r="BF55" s="88">
        <f t="shared" si="49"/>
        <v>0</v>
      </c>
      <c r="BG55" s="88">
        <f t="shared" si="50"/>
        <v>0</v>
      </c>
      <c r="BH55" s="88">
        <f t="shared" si="51"/>
        <v>0</v>
      </c>
      <c r="BI55" s="88">
        <f t="shared" si="52"/>
        <v>0</v>
      </c>
      <c r="BJ55" s="88">
        <f t="shared" si="53"/>
        <v>0</v>
      </c>
      <c r="BK55" s="88">
        <f t="shared" si="54"/>
        <v>0</v>
      </c>
      <c r="BL55" s="87">
        <v>0</v>
      </c>
      <c r="BM55" s="88">
        <f t="shared" si="55"/>
        <v>0</v>
      </c>
      <c r="BN55" s="88">
        <f t="shared" si="56"/>
        <v>0</v>
      </c>
      <c r="BO55" s="88">
        <f t="shared" si="57"/>
        <v>0</v>
      </c>
      <c r="BP55" s="88">
        <f t="shared" si="58"/>
        <v>0</v>
      </c>
      <c r="BQ55" s="88">
        <f t="shared" si="59"/>
        <v>0</v>
      </c>
      <c r="BR55" s="88">
        <f t="shared" si="60"/>
        <v>0</v>
      </c>
      <c r="BS55" s="88">
        <f t="shared" si="61"/>
        <v>0</v>
      </c>
      <c r="BT55" s="88">
        <f t="shared" si="62"/>
        <v>0</v>
      </c>
      <c r="BU55" s="88">
        <f t="shared" si="63"/>
        <v>0</v>
      </c>
      <c r="BV55" s="87">
        <v>0</v>
      </c>
      <c r="BW55" s="88">
        <f t="shared" si="64"/>
        <v>0</v>
      </c>
      <c r="BX55" s="88">
        <f t="shared" si="65"/>
        <v>0</v>
      </c>
      <c r="BY55" s="88">
        <f t="shared" si="66"/>
        <v>0</v>
      </c>
      <c r="BZ55" s="88">
        <f t="shared" si="67"/>
        <v>0</v>
      </c>
      <c r="CA55" s="87">
        <f t="shared" si="68"/>
        <v>0</v>
      </c>
      <c r="CB55" s="88">
        <f t="shared" si="69"/>
        <v>0</v>
      </c>
      <c r="CC55" s="88">
        <f t="shared" si="70"/>
        <v>0</v>
      </c>
      <c r="CD55" s="88">
        <f t="shared" si="71"/>
        <v>0</v>
      </c>
      <c r="CE55" s="88">
        <f t="shared" si="72"/>
        <v>0</v>
      </c>
      <c r="CF55" s="87">
        <v>0</v>
      </c>
      <c r="CG55" s="88">
        <f t="shared" si="73"/>
        <v>0</v>
      </c>
      <c r="CH55" s="88">
        <f t="shared" si="74"/>
        <v>0</v>
      </c>
      <c r="CI55" s="88">
        <f t="shared" si="75"/>
        <v>0</v>
      </c>
      <c r="CJ55" s="88">
        <f t="shared" si="76"/>
        <v>0</v>
      </c>
      <c r="CK55" s="87">
        <f t="shared" si="77"/>
        <v>0</v>
      </c>
      <c r="CL55" s="88">
        <f t="shared" si="78"/>
        <v>0</v>
      </c>
      <c r="CM55" s="88">
        <f t="shared" si="79"/>
        <v>0</v>
      </c>
      <c r="CN55" s="88">
        <f t="shared" si="80"/>
        <v>0</v>
      </c>
      <c r="CO55" s="88">
        <f t="shared" si="81"/>
        <v>0</v>
      </c>
      <c r="CP55" s="88">
        <v>0</v>
      </c>
      <c r="CQ55" s="88">
        <f t="shared" si="82"/>
        <v>0</v>
      </c>
      <c r="CR55" s="88">
        <f t="shared" si="83"/>
        <v>0</v>
      </c>
      <c r="CS55" s="88">
        <f t="shared" si="84"/>
        <v>0</v>
      </c>
      <c r="CT55" s="88">
        <f t="shared" si="85"/>
        <v>0</v>
      </c>
      <c r="CU55" s="88">
        <f t="shared" si="86"/>
        <v>0</v>
      </c>
      <c r="CV55" s="88">
        <f t="shared" si="87"/>
        <v>0</v>
      </c>
      <c r="CW55" s="88">
        <f t="shared" si="88"/>
        <v>0</v>
      </c>
      <c r="CX55" s="88">
        <f t="shared" si="89"/>
        <v>0</v>
      </c>
      <c r="CY55" s="89">
        <v>0</v>
      </c>
      <c r="CZ55" s="1"/>
    </row>
    <row r="56" spans="2:104" hidden="1" x14ac:dyDescent="0.25">
      <c r="B56" s="58"/>
      <c r="C56" s="77">
        <f t="shared" si="90"/>
        <v>5000</v>
      </c>
      <c r="D56" s="87">
        <v>0</v>
      </c>
      <c r="E56" s="88">
        <f t="shared" si="2"/>
        <v>0</v>
      </c>
      <c r="F56" s="88">
        <f t="shared" si="3"/>
        <v>0</v>
      </c>
      <c r="G56" s="88">
        <f t="shared" si="4"/>
        <v>0</v>
      </c>
      <c r="H56" s="88">
        <f t="shared" si="5"/>
        <v>0</v>
      </c>
      <c r="I56" s="87">
        <f t="shared" si="6"/>
        <v>0</v>
      </c>
      <c r="J56" s="88">
        <f t="shared" si="7"/>
        <v>0</v>
      </c>
      <c r="K56" s="88">
        <f t="shared" si="8"/>
        <v>0</v>
      </c>
      <c r="L56" s="88">
        <f t="shared" si="9"/>
        <v>0</v>
      </c>
      <c r="M56" s="88">
        <f t="shared" si="10"/>
        <v>0</v>
      </c>
      <c r="N56" s="87">
        <v>0</v>
      </c>
      <c r="O56" s="88">
        <f t="shared" si="11"/>
        <v>0</v>
      </c>
      <c r="P56" s="88">
        <f t="shared" si="12"/>
        <v>0</v>
      </c>
      <c r="Q56" s="88">
        <f t="shared" si="13"/>
        <v>0</v>
      </c>
      <c r="R56" s="88">
        <f t="shared" si="14"/>
        <v>0</v>
      </c>
      <c r="S56" s="87">
        <v>0</v>
      </c>
      <c r="T56" s="88">
        <f t="shared" si="15"/>
        <v>0</v>
      </c>
      <c r="U56" s="88">
        <f t="shared" si="16"/>
        <v>0</v>
      </c>
      <c r="V56" s="88">
        <f t="shared" si="17"/>
        <v>0</v>
      </c>
      <c r="W56" s="88">
        <f t="shared" si="18"/>
        <v>0</v>
      </c>
      <c r="X56" s="87">
        <v>0</v>
      </c>
      <c r="Y56" s="88">
        <f t="shared" si="19"/>
        <v>0</v>
      </c>
      <c r="Z56" s="88">
        <f t="shared" si="20"/>
        <v>0</v>
      </c>
      <c r="AA56" s="88">
        <f t="shared" si="21"/>
        <v>0</v>
      </c>
      <c r="AB56" s="88">
        <f t="shared" si="22"/>
        <v>0</v>
      </c>
      <c r="AC56" s="87">
        <f t="shared" si="23"/>
        <v>0</v>
      </c>
      <c r="AD56" s="88">
        <f t="shared" si="24"/>
        <v>0</v>
      </c>
      <c r="AE56" s="88">
        <f t="shared" si="25"/>
        <v>0</v>
      </c>
      <c r="AF56" s="88">
        <f t="shared" si="26"/>
        <v>0</v>
      </c>
      <c r="AG56" s="88">
        <f t="shared" si="27"/>
        <v>0</v>
      </c>
      <c r="AH56" s="87">
        <v>0</v>
      </c>
      <c r="AI56" s="88">
        <f t="shared" si="28"/>
        <v>0</v>
      </c>
      <c r="AJ56" s="88">
        <f t="shared" si="29"/>
        <v>0</v>
      </c>
      <c r="AK56" s="88">
        <f t="shared" si="30"/>
        <v>0</v>
      </c>
      <c r="AL56" s="88">
        <f t="shared" si="31"/>
        <v>0</v>
      </c>
      <c r="AM56" s="87">
        <f t="shared" si="32"/>
        <v>0</v>
      </c>
      <c r="AN56" s="88">
        <f t="shared" si="33"/>
        <v>0</v>
      </c>
      <c r="AO56" s="88">
        <f t="shared" si="34"/>
        <v>0</v>
      </c>
      <c r="AP56" s="88">
        <f t="shared" si="35"/>
        <v>0</v>
      </c>
      <c r="AQ56" s="88">
        <f t="shared" si="36"/>
        <v>0</v>
      </c>
      <c r="AR56" s="87">
        <v>0</v>
      </c>
      <c r="AS56" s="88">
        <f t="shared" si="37"/>
        <v>0</v>
      </c>
      <c r="AT56" s="88">
        <f t="shared" si="38"/>
        <v>0</v>
      </c>
      <c r="AU56" s="88">
        <f t="shared" si="39"/>
        <v>0</v>
      </c>
      <c r="AV56" s="88">
        <f t="shared" si="40"/>
        <v>0</v>
      </c>
      <c r="AW56" s="88">
        <f t="shared" si="41"/>
        <v>0</v>
      </c>
      <c r="AX56" s="88">
        <f t="shared" si="42"/>
        <v>0</v>
      </c>
      <c r="AY56" s="88">
        <f t="shared" si="43"/>
        <v>0</v>
      </c>
      <c r="AZ56" s="88">
        <f t="shared" si="44"/>
        <v>0</v>
      </c>
      <c r="BA56" s="88">
        <f t="shared" si="45"/>
        <v>0</v>
      </c>
      <c r="BB56" s="87">
        <v>0</v>
      </c>
      <c r="BC56" s="88">
        <f t="shared" si="46"/>
        <v>0</v>
      </c>
      <c r="BD56" s="88">
        <f t="shared" si="47"/>
        <v>0</v>
      </c>
      <c r="BE56" s="88">
        <f t="shared" si="48"/>
        <v>0</v>
      </c>
      <c r="BF56" s="88">
        <f t="shared" si="49"/>
        <v>0</v>
      </c>
      <c r="BG56" s="88">
        <f t="shared" si="50"/>
        <v>0</v>
      </c>
      <c r="BH56" s="88">
        <f t="shared" si="51"/>
        <v>0</v>
      </c>
      <c r="BI56" s="88">
        <f t="shared" si="52"/>
        <v>0</v>
      </c>
      <c r="BJ56" s="88">
        <f t="shared" si="53"/>
        <v>0</v>
      </c>
      <c r="BK56" s="88">
        <f t="shared" si="54"/>
        <v>0</v>
      </c>
      <c r="BL56" s="87">
        <v>0</v>
      </c>
      <c r="BM56" s="88">
        <f t="shared" si="55"/>
        <v>0</v>
      </c>
      <c r="BN56" s="88">
        <f t="shared" si="56"/>
        <v>0</v>
      </c>
      <c r="BO56" s="88">
        <f t="shared" si="57"/>
        <v>0</v>
      </c>
      <c r="BP56" s="88">
        <f t="shared" si="58"/>
        <v>0</v>
      </c>
      <c r="BQ56" s="88">
        <f t="shared" si="59"/>
        <v>0</v>
      </c>
      <c r="BR56" s="88">
        <f t="shared" si="60"/>
        <v>0</v>
      </c>
      <c r="BS56" s="88">
        <f t="shared" si="61"/>
        <v>0</v>
      </c>
      <c r="BT56" s="88">
        <f t="shared" si="62"/>
        <v>0</v>
      </c>
      <c r="BU56" s="88">
        <f t="shared" si="63"/>
        <v>0</v>
      </c>
      <c r="BV56" s="87">
        <v>0</v>
      </c>
      <c r="BW56" s="88">
        <f t="shared" si="64"/>
        <v>0</v>
      </c>
      <c r="BX56" s="88">
        <f t="shared" si="65"/>
        <v>0</v>
      </c>
      <c r="BY56" s="88">
        <f t="shared" si="66"/>
        <v>0</v>
      </c>
      <c r="BZ56" s="88">
        <f t="shared" si="67"/>
        <v>0</v>
      </c>
      <c r="CA56" s="87">
        <f t="shared" si="68"/>
        <v>0</v>
      </c>
      <c r="CB56" s="88">
        <f t="shared" si="69"/>
        <v>0</v>
      </c>
      <c r="CC56" s="88">
        <f t="shared" si="70"/>
        <v>0</v>
      </c>
      <c r="CD56" s="88">
        <f t="shared" si="71"/>
        <v>0</v>
      </c>
      <c r="CE56" s="88">
        <f t="shared" si="72"/>
        <v>0</v>
      </c>
      <c r="CF56" s="87">
        <v>0</v>
      </c>
      <c r="CG56" s="88">
        <f t="shared" si="73"/>
        <v>0</v>
      </c>
      <c r="CH56" s="88">
        <f t="shared" si="74"/>
        <v>0</v>
      </c>
      <c r="CI56" s="88">
        <f t="shared" si="75"/>
        <v>0</v>
      </c>
      <c r="CJ56" s="88">
        <f t="shared" si="76"/>
        <v>0</v>
      </c>
      <c r="CK56" s="87">
        <f t="shared" si="77"/>
        <v>0</v>
      </c>
      <c r="CL56" s="88">
        <f t="shared" si="78"/>
        <v>0</v>
      </c>
      <c r="CM56" s="88">
        <f t="shared" si="79"/>
        <v>0</v>
      </c>
      <c r="CN56" s="88">
        <f t="shared" si="80"/>
        <v>0</v>
      </c>
      <c r="CO56" s="88">
        <f t="shared" si="81"/>
        <v>0</v>
      </c>
      <c r="CP56" s="88">
        <v>0</v>
      </c>
      <c r="CQ56" s="88">
        <f t="shared" si="82"/>
        <v>0</v>
      </c>
      <c r="CR56" s="88">
        <f t="shared" si="83"/>
        <v>0</v>
      </c>
      <c r="CS56" s="88">
        <f t="shared" si="84"/>
        <v>0</v>
      </c>
      <c r="CT56" s="88">
        <f t="shared" si="85"/>
        <v>0</v>
      </c>
      <c r="CU56" s="88">
        <f t="shared" si="86"/>
        <v>0</v>
      </c>
      <c r="CV56" s="88">
        <f t="shared" si="87"/>
        <v>0</v>
      </c>
      <c r="CW56" s="88">
        <f t="shared" si="88"/>
        <v>0</v>
      </c>
      <c r="CX56" s="88">
        <f t="shared" si="89"/>
        <v>0</v>
      </c>
      <c r="CY56" s="89">
        <v>0</v>
      </c>
      <c r="CZ56" s="1"/>
    </row>
    <row r="57" spans="2:104" hidden="1" x14ac:dyDescent="0.25">
      <c r="B57" s="58"/>
      <c r="C57" s="77">
        <f t="shared" si="90"/>
        <v>5500</v>
      </c>
      <c r="D57" s="87">
        <v>0</v>
      </c>
      <c r="E57" s="88">
        <f t="shared" si="2"/>
        <v>0</v>
      </c>
      <c r="F57" s="88">
        <f t="shared" si="3"/>
        <v>0</v>
      </c>
      <c r="G57" s="88">
        <f t="shared" si="4"/>
        <v>0</v>
      </c>
      <c r="H57" s="88">
        <f t="shared" si="5"/>
        <v>0</v>
      </c>
      <c r="I57" s="87">
        <f t="shared" si="6"/>
        <v>0</v>
      </c>
      <c r="J57" s="88">
        <f t="shared" si="7"/>
        <v>0</v>
      </c>
      <c r="K57" s="88">
        <f t="shared" si="8"/>
        <v>0</v>
      </c>
      <c r="L57" s="88">
        <f t="shared" si="9"/>
        <v>0</v>
      </c>
      <c r="M57" s="88">
        <f t="shared" si="10"/>
        <v>0</v>
      </c>
      <c r="N57" s="87">
        <v>0</v>
      </c>
      <c r="O57" s="88">
        <f t="shared" si="11"/>
        <v>0</v>
      </c>
      <c r="P57" s="88">
        <f t="shared" si="12"/>
        <v>0</v>
      </c>
      <c r="Q57" s="88">
        <f t="shared" si="13"/>
        <v>0</v>
      </c>
      <c r="R57" s="88">
        <f t="shared" si="14"/>
        <v>0</v>
      </c>
      <c r="S57" s="87">
        <v>0</v>
      </c>
      <c r="T57" s="88">
        <f t="shared" si="15"/>
        <v>0</v>
      </c>
      <c r="U57" s="88">
        <f t="shared" si="16"/>
        <v>0</v>
      </c>
      <c r="V57" s="88">
        <f t="shared" si="17"/>
        <v>0</v>
      </c>
      <c r="W57" s="88">
        <f t="shared" si="18"/>
        <v>0</v>
      </c>
      <c r="X57" s="87">
        <v>0</v>
      </c>
      <c r="Y57" s="88">
        <f t="shared" si="19"/>
        <v>0</v>
      </c>
      <c r="Z57" s="88">
        <f t="shared" si="20"/>
        <v>0</v>
      </c>
      <c r="AA57" s="88">
        <f t="shared" si="21"/>
        <v>0</v>
      </c>
      <c r="AB57" s="88">
        <f t="shared" si="22"/>
        <v>0</v>
      </c>
      <c r="AC57" s="87">
        <f t="shared" si="23"/>
        <v>0</v>
      </c>
      <c r="AD57" s="88">
        <f t="shared" si="24"/>
        <v>0</v>
      </c>
      <c r="AE57" s="88">
        <f t="shared" si="25"/>
        <v>0</v>
      </c>
      <c r="AF57" s="88">
        <f t="shared" si="26"/>
        <v>0</v>
      </c>
      <c r="AG57" s="88">
        <f t="shared" si="27"/>
        <v>0</v>
      </c>
      <c r="AH57" s="87">
        <v>0</v>
      </c>
      <c r="AI57" s="88">
        <f t="shared" si="28"/>
        <v>0</v>
      </c>
      <c r="AJ57" s="88">
        <f t="shared" si="29"/>
        <v>0</v>
      </c>
      <c r="AK57" s="88">
        <f t="shared" si="30"/>
        <v>0</v>
      </c>
      <c r="AL57" s="88">
        <f t="shared" si="31"/>
        <v>0</v>
      </c>
      <c r="AM57" s="87">
        <f t="shared" si="32"/>
        <v>0</v>
      </c>
      <c r="AN57" s="88">
        <f t="shared" si="33"/>
        <v>0</v>
      </c>
      <c r="AO57" s="88">
        <f t="shared" si="34"/>
        <v>0</v>
      </c>
      <c r="AP57" s="88">
        <f t="shared" si="35"/>
        <v>0</v>
      </c>
      <c r="AQ57" s="88">
        <f t="shared" si="36"/>
        <v>0</v>
      </c>
      <c r="AR57" s="87">
        <v>0</v>
      </c>
      <c r="AS57" s="88">
        <f t="shared" si="37"/>
        <v>0</v>
      </c>
      <c r="AT57" s="88">
        <f t="shared" si="38"/>
        <v>0</v>
      </c>
      <c r="AU57" s="88">
        <f t="shared" si="39"/>
        <v>0</v>
      </c>
      <c r="AV57" s="88">
        <f t="shared" si="40"/>
        <v>0</v>
      </c>
      <c r="AW57" s="88">
        <f t="shared" si="41"/>
        <v>0</v>
      </c>
      <c r="AX57" s="88">
        <f t="shared" si="42"/>
        <v>0</v>
      </c>
      <c r="AY57" s="88">
        <f t="shared" si="43"/>
        <v>0</v>
      </c>
      <c r="AZ57" s="88">
        <f t="shared" si="44"/>
        <v>0</v>
      </c>
      <c r="BA57" s="88">
        <f t="shared" si="45"/>
        <v>0</v>
      </c>
      <c r="BB57" s="87">
        <v>0</v>
      </c>
      <c r="BC57" s="88">
        <f t="shared" si="46"/>
        <v>0</v>
      </c>
      <c r="BD57" s="88">
        <f t="shared" si="47"/>
        <v>0</v>
      </c>
      <c r="BE57" s="88">
        <f t="shared" si="48"/>
        <v>0</v>
      </c>
      <c r="BF57" s="88">
        <f t="shared" si="49"/>
        <v>0</v>
      </c>
      <c r="BG57" s="88">
        <f t="shared" si="50"/>
        <v>0</v>
      </c>
      <c r="BH57" s="88">
        <f t="shared" si="51"/>
        <v>0</v>
      </c>
      <c r="BI57" s="88">
        <f t="shared" si="52"/>
        <v>0</v>
      </c>
      <c r="BJ57" s="88">
        <f t="shared" si="53"/>
        <v>0</v>
      </c>
      <c r="BK57" s="88">
        <f t="shared" si="54"/>
        <v>0</v>
      </c>
      <c r="BL57" s="87">
        <v>0</v>
      </c>
      <c r="BM57" s="88">
        <f t="shared" si="55"/>
        <v>0</v>
      </c>
      <c r="BN57" s="88">
        <f t="shared" si="56"/>
        <v>0</v>
      </c>
      <c r="BO57" s="88">
        <f t="shared" si="57"/>
        <v>0</v>
      </c>
      <c r="BP57" s="88">
        <f t="shared" si="58"/>
        <v>0</v>
      </c>
      <c r="BQ57" s="88">
        <f t="shared" si="59"/>
        <v>0</v>
      </c>
      <c r="BR57" s="88">
        <f t="shared" si="60"/>
        <v>0</v>
      </c>
      <c r="BS57" s="88">
        <f t="shared" si="61"/>
        <v>0</v>
      </c>
      <c r="BT57" s="88">
        <f t="shared" si="62"/>
        <v>0</v>
      </c>
      <c r="BU57" s="88">
        <f t="shared" si="63"/>
        <v>0</v>
      </c>
      <c r="BV57" s="87">
        <v>0</v>
      </c>
      <c r="BW57" s="88">
        <f t="shared" si="64"/>
        <v>0</v>
      </c>
      <c r="BX57" s="88">
        <f t="shared" si="65"/>
        <v>0</v>
      </c>
      <c r="BY57" s="88">
        <f t="shared" si="66"/>
        <v>0</v>
      </c>
      <c r="BZ57" s="88">
        <f t="shared" si="67"/>
        <v>0</v>
      </c>
      <c r="CA57" s="87">
        <f t="shared" si="68"/>
        <v>0</v>
      </c>
      <c r="CB57" s="88">
        <f t="shared" si="69"/>
        <v>0</v>
      </c>
      <c r="CC57" s="88">
        <f t="shared" si="70"/>
        <v>0</v>
      </c>
      <c r="CD57" s="88">
        <f t="shared" si="71"/>
        <v>0</v>
      </c>
      <c r="CE57" s="88">
        <f t="shared" si="72"/>
        <v>0</v>
      </c>
      <c r="CF57" s="87">
        <v>0</v>
      </c>
      <c r="CG57" s="88">
        <f t="shared" si="73"/>
        <v>0</v>
      </c>
      <c r="CH57" s="88">
        <f t="shared" si="74"/>
        <v>0</v>
      </c>
      <c r="CI57" s="88">
        <f t="shared" si="75"/>
        <v>0</v>
      </c>
      <c r="CJ57" s="88">
        <f t="shared" si="76"/>
        <v>0</v>
      </c>
      <c r="CK57" s="87">
        <f t="shared" si="77"/>
        <v>0</v>
      </c>
      <c r="CL57" s="88">
        <f t="shared" si="78"/>
        <v>0</v>
      </c>
      <c r="CM57" s="88">
        <f t="shared" si="79"/>
        <v>0</v>
      </c>
      <c r="CN57" s="88">
        <f t="shared" si="80"/>
        <v>0</v>
      </c>
      <c r="CO57" s="88">
        <f t="shared" si="81"/>
        <v>0</v>
      </c>
      <c r="CP57" s="88">
        <v>0</v>
      </c>
      <c r="CQ57" s="88">
        <f t="shared" si="82"/>
        <v>0</v>
      </c>
      <c r="CR57" s="88">
        <f t="shared" si="83"/>
        <v>0</v>
      </c>
      <c r="CS57" s="88">
        <f t="shared" si="84"/>
        <v>0</v>
      </c>
      <c r="CT57" s="88">
        <f t="shared" si="85"/>
        <v>0</v>
      </c>
      <c r="CU57" s="88">
        <f t="shared" si="86"/>
        <v>0</v>
      </c>
      <c r="CV57" s="88">
        <f t="shared" si="87"/>
        <v>0</v>
      </c>
      <c r="CW57" s="88">
        <f t="shared" si="88"/>
        <v>0</v>
      </c>
      <c r="CX57" s="88">
        <f t="shared" si="89"/>
        <v>0</v>
      </c>
      <c r="CY57" s="89">
        <v>0</v>
      </c>
      <c r="CZ57" s="1"/>
    </row>
    <row r="58" spans="2:104" hidden="1" x14ac:dyDescent="0.25">
      <c r="B58" s="58"/>
      <c r="C58" s="77">
        <f t="shared" si="90"/>
        <v>6000</v>
      </c>
      <c r="D58" s="87">
        <v>0</v>
      </c>
      <c r="E58" s="88">
        <f t="shared" si="2"/>
        <v>0</v>
      </c>
      <c r="F58" s="88">
        <f t="shared" si="3"/>
        <v>0</v>
      </c>
      <c r="G58" s="88">
        <f t="shared" si="4"/>
        <v>0</v>
      </c>
      <c r="H58" s="88">
        <f t="shared" si="5"/>
        <v>0</v>
      </c>
      <c r="I58" s="87">
        <f t="shared" si="6"/>
        <v>0</v>
      </c>
      <c r="J58" s="88">
        <f t="shared" si="7"/>
        <v>0</v>
      </c>
      <c r="K58" s="88">
        <f t="shared" si="8"/>
        <v>0</v>
      </c>
      <c r="L58" s="88">
        <f t="shared" si="9"/>
        <v>0</v>
      </c>
      <c r="M58" s="88">
        <f t="shared" si="10"/>
        <v>0</v>
      </c>
      <c r="N58" s="87">
        <v>0</v>
      </c>
      <c r="O58" s="88">
        <f t="shared" si="11"/>
        <v>0</v>
      </c>
      <c r="P58" s="88">
        <f t="shared" si="12"/>
        <v>0</v>
      </c>
      <c r="Q58" s="88">
        <f t="shared" si="13"/>
        <v>0</v>
      </c>
      <c r="R58" s="88">
        <f t="shared" si="14"/>
        <v>0</v>
      </c>
      <c r="S58" s="87">
        <v>0</v>
      </c>
      <c r="T58" s="88">
        <f t="shared" si="15"/>
        <v>0</v>
      </c>
      <c r="U58" s="88">
        <f t="shared" si="16"/>
        <v>0</v>
      </c>
      <c r="V58" s="88">
        <f t="shared" si="17"/>
        <v>0</v>
      </c>
      <c r="W58" s="88">
        <f t="shared" si="18"/>
        <v>0</v>
      </c>
      <c r="X58" s="87">
        <v>0</v>
      </c>
      <c r="Y58" s="88">
        <f t="shared" si="19"/>
        <v>0</v>
      </c>
      <c r="Z58" s="88">
        <f t="shared" si="20"/>
        <v>0</v>
      </c>
      <c r="AA58" s="88">
        <f t="shared" si="21"/>
        <v>0</v>
      </c>
      <c r="AB58" s="88">
        <f t="shared" si="22"/>
        <v>0</v>
      </c>
      <c r="AC58" s="87">
        <f t="shared" si="23"/>
        <v>0</v>
      </c>
      <c r="AD58" s="88">
        <f t="shared" si="24"/>
        <v>0</v>
      </c>
      <c r="AE58" s="88">
        <f t="shared" si="25"/>
        <v>0</v>
      </c>
      <c r="AF58" s="88">
        <f t="shared" si="26"/>
        <v>0</v>
      </c>
      <c r="AG58" s="88">
        <f t="shared" si="27"/>
        <v>0</v>
      </c>
      <c r="AH58" s="87">
        <v>0</v>
      </c>
      <c r="AI58" s="88">
        <f t="shared" si="28"/>
        <v>0</v>
      </c>
      <c r="AJ58" s="88">
        <f t="shared" si="29"/>
        <v>0</v>
      </c>
      <c r="AK58" s="88">
        <f t="shared" si="30"/>
        <v>0</v>
      </c>
      <c r="AL58" s="88">
        <f t="shared" si="31"/>
        <v>0</v>
      </c>
      <c r="AM58" s="87">
        <f t="shared" si="32"/>
        <v>0</v>
      </c>
      <c r="AN58" s="88">
        <f t="shared" si="33"/>
        <v>0</v>
      </c>
      <c r="AO58" s="88">
        <f t="shared" si="34"/>
        <v>0</v>
      </c>
      <c r="AP58" s="88">
        <f t="shared" si="35"/>
        <v>0</v>
      </c>
      <c r="AQ58" s="88">
        <f t="shared" si="36"/>
        <v>0</v>
      </c>
      <c r="AR58" s="87">
        <v>0</v>
      </c>
      <c r="AS58" s="88">
        <f t="shared" si="37"/>
        <v>0</v>
      </c>
      <c r="AT58" s="88">
        <f t="shared" si="38"/>
        <v>0</v>
      </c>
      <c r="AU58" s="88">
        <f t="shared" si="39"/>
        <v>0</v>
      </c>
      <c r="AV58" s="88">
        <f t="shared" si="40"/>
        <v>0</v>
      </c>
      <c r="AW58" s="88">
        <f t="shared" si="41"/>
        <v>0</v>
      </c>
      <c r="AX58" s="88">
        <f t="shared" si="42"/>
        <v>0</v>
      </c>
      <c r="AY58" s="88">
        <f t="shared" si="43"/>
        <v>0</v>
      </c>
      <c r="AZ58" s="88">
        <f t="shared" si="44"/>
        <v>0</v>
      </c>
      <c r="BA58" s="88">
        <f t="shared" si="45"/>
        <v>0</v>
      </c>
      <c r="BB58" s="87">
        <v>0</v>
      </c>
      <c r="BC58" s="88">
        <f t="shared" si="46"/>
        <v>0</v>
      </c>
      <c r="BD58" s="88">
        <f t="shared" si="47"/>
        <v>0</v>
      </c>
      <c r="BE58" s="88">
        <f t="shared" si="48"/>
        <v>0</v>
      </c>
      <c r="BF58" s="88">
        <f t="shared" si="49"/>
        <v>0</v>
      </c>
      <c r="BG58" s="88">
        <f t="shared" si="50"/>
        <v>0</v>
      </c>
      <c r="BH58" s="88">
        <f t="shared" si="51"/>
        <v>0</v>
      </c>
      <c r="BI58" s="88">
        <f t="shared" si="52"/>
        <v>0</v>
      </c>
      <c r="BJ58" s="88">
        <f t="shared" si="53"/>
        <v>0</v>
      </c>
      <c r="BK58" s="88">
        <f t="shared" si="54"/>
        <v>0</v>
      </c>
      <c r="BL58" s="87">
        <v>0</v>
      </c>
      <c r="BM58" s="88">
        <f t="shared" si="55"/>
        <v>0</v>
      </c>
      <c r="BN58" s="88">
        <f t="shared" si="56"/>
        <v>0</v>
      </c>
      <c r="BO58" s="88">
        <f t="shared" si="57"/>
        <v>0</v>
      </c>
      <c r="BP58" s="88">
        <f t="shared" si="58"/>
        <v>0</v>
      </c>
      <c r="BQ58" s="88">
        <f t="shared" si="59"/>
        <v>0</v>
      </c>
      <c r="BR58" s="88">
        <f t="shared" si="60"/>
        <v>0</v>
      </c>
      <c r="BS58" s="88">
        <f t="shared" si="61"/>
        <v>0</v>
      </c>
      <c r="BT58" s="88">
        <f t="shared" si="62"/>
        <v>0</v>
      </c>
      <c r="BU58" s="88">
        <f t="shared" si="63"/>
        <v>0</v>
      </c>
      <c r="BV58" s="87">
        <v>0</v>
      </c>
      <c r="BW58" s="88">
        <f t="shared" si="64"/>
        <v>0</v>
      </c>
      <c r="BX58" s="88">
        <f t="shared" si="65"/>
        <v>0</v>
      </c>
      <c r="BY58" s="88">
        <f t="shared" si="66"/>
        <v>0</v>
      </c>
      <c r="BZ58" s="88">
        <f t="shared" si="67"/>
        <v>0</v>
      </c>
      <c r="CA58" s="87">
        <f t="shared" si="68"/>
        <v>0</v>
      </c>
      <c r="CB58" s="88">
        <f t="shared" si="69"/>
        <v>0</v>
      </c>
      <c r="CC58" s="88">
        <f t="shared" si="70"/>
        <v>0</v>
      </c>
      <c r="CD58" s="88">
        <f t="shared" si="71"/>
        <v>0</v>
      </c>
      <c r="CE58" s="88">
        <f t="shared" si="72"/>
        <v>0</v>
      </c>
      <c r="CF58" s="87">
        <v>0</v>
      </c>
      <c r="CG58" s="88">
        <f t="shared" si="73"/>
        <v>0</v>
      </c>
      <c r="CH58" s="88">
        <f t="shared" si="74"/>
        <v>0</v>
      </c>
      <c r="CI58" s="88">
        <f t="shared" si="75"/>
        <v>0</v>
      </c>
      <c r="CJ58" s="88">
        <f t="shared" si="76"/>
        <v>0</v>
      </c>
      <c r="CK58" s="87">
        <f t="shared" si="77"/>
        <v>0</v>
      </c>
      <c r="CL58" s="88">
        <f t="shared" si="78"/>
        <v>0</v>
      </c>
      <c r="CM58" s="88">
        <f t="shared" si="79"/>
        <v>0</v>
      </c>
      <c r="CN58" s="88">
        <f t="shared" si="80"/>
        <v>0</v>
      </c>
      <c r="CO58" s="88">
        <f t="shared" si="81"/>
        <v>0</v>
      </c>
      <c r="CP58" s="88">
        <v>0</v>
      </c>
      <c r="CQ58" s="88">
        <f t="shared" si="82"/>
        <v>0</v>
      </c>
      <c r="CR58" s="88">
        <f t="shared" si="83"/>
        <v>0</v>
      </c>
      <c r="CS58" s="88">
        <f t="shared" si="84"/>
        <v>0</v>
      </c>
      <c r="CT58" s="88">
        <f t="shared" si="85"/>
        <v>0</v>
      </c>
      <c r="CU58" s="88">
        <f t="shared" si="86"/>
        <v>0</v>
      </c>
      <c r="CV58" s="88">
        <f t="shared" si="87"/>
        <v>0</v>
      </c>
      <c r="CW58" s="88">
        <f t="shared" si="88"/>
        <v>0</v>
      </c>
      <c r="CX58" s="88">
        <f t="shared" si="89"/>
        <v>0</v>
      </c>
      <c r="CY58" s="89">
        <v>0</v>
      </c>
      <c r="CZ58" s="1"/>
    </row>
    <row r="59" spans="2:104" ht="15.75" hidden="1" thickBot="1" x14ac:dyDescent="0.3">
      <c r="B59" s="58"/>
      <c r="C59" s="78">
        <f t="shared" si="90"/>
        <v>6500</v>
      </c>
      <c r="D59" s="90">
        <v>0</v>
      </c>
      <c r="E59" s="91">
        <f t="shared" si="2"/>
        <v>0</v>
      </c>
      <c r="F59" s="91">
        <f t="shared" si="3"/>
        <v>0</v>
      </c>
      <c r="G59" s="91">
        <f t="shared" si="4"/>
        <v>0</v>
      </c>
      <c r="H59" s="91">
        <f t="shared" si="5"/>
        <v>0</v>
      </c>
      <c r="I59" s="90">
        <f t="shared" si="6"/>
        <v>0</v>
      </c>
      <c r="J59" s="91">
        <f t="shared" si="7"/>
        <v>0</v>
      </c>
      <c r="K59" s="91">
        <f t="shared" si="8"/>
        <v>0</v>
      </c>
      <c r="L59" s="91">
        <f t="shared" si="9"/>
        <v>0</v>
      </c>
      <c r="M59" s="91">
        <f t="shared" si="10"/>
        <v>0</v>
      </c>
      <c r="N59" s="90">
        <v>0</v>
      </c>
      <c r="O59" s="91">
        <f t="shared" si="11"/>
        <v>0</v>
      </c>
      <c r="P59" s="91">
        <f t="shared" si="12"/>
        <v>0</v>
      </c>
      <c r="Q59" s="91">
        <f t="shared" si="13"/>
        <v>0</v>
      </c>
      <c r="R59" s="91">
        <f t="shared" si="14"/>
        <v>0</v>
      </c>
      <c r="S59" s="90">
        <v>0</v>
      </c>
      <c r="T59" s="91">
        <f t="shared" si="15"/>
        <v>0</v>
      </c>
      <c r="U59" s="91">
        <f t="shared" si="16"/>
        <v>0</v>
      </c>
      <c r="V59" s="91">
        <f t="shared" si="17"/>
        <v>0</v>
      </c>
      <c r="W59" s="91">
        <f t="shared" si="18"/>
        <v>0</v>
      </c>
      <c r="X59" s="90">
        <v>0</v>
      </c>
      <c r="Y59" s="91">
        <f t="shared" si="19"/>
        <v>0</v>
      </c>
      <c r="Z59" s="91">
        <f t="shared" si="20"/>
        <v>0</v>
      </c>
      <c r="AA59" s="91">
        <f t="shared" si="21"/>
        <v>0</v>
      </c>
      <c r="AB59" s="91">
        <f t="shared" si="22"/>
        <v>0</v>
      </c>
      <c r="AC59" s="90">
        <f t="shared" si="23"/>
        <v>0</v>
      </c>
      <c r="AD59" s="91">
        <f t="shared" si="24"/>
        <v>0</v>
      </c>
      <c r="AE59" s="91">
        <f t="shared" si="25"/>
        <v>0</v>
      </c>
      <c r="AF59" s="91">
        <f t="shared" si="26"/>
        <v>0</v>
      </c>
      <c r="AG59" s="91">
        <f t="shared" si="27"/>
        <v>0</v>
      </c>
      <c r="AH59" s="90">
        <v>0</v>
      </c>
      <c r="AI59" s="91">
        <f t="shared" si="28"/>
        <v>0</v>
      </c>
      <c r="AJ59" s="91">
        <f t="shared" si="29"/>
        <v>0</v>
      </c>
      <c r="AK59" s="91">
        <f t="shared" si="30"/>
        <v>0</v>
      </c>
      <c r="AL59" s="91">
        <f t="shared" si="31"/>
        <v>0</v>
      </c>
      <c r="AM59" s="90">
        <f t="shared" si="32"/>
        <v>0</v>
      </c>
      <c r="AN59" s="91">
        <f t="shared" si="33"/>
        <v>0</v>
      </c>
      <c r="AO59" s="91">
        <f t="shared" si="34"/>
        <v>0</v>
      </c>
      <c r="AP59" s="91">
        <f t="shared" si="35"/>
        <v>0</v>
      </c>
      <c r="AQ59" s="91">
        <f t="shared" si="36"/>
        <v>0</v>
      </c>
      <c r="AR59" s="90">
        <v>0</v>
      </c>
      <c r="AS59" s="91">
        <f t="shared" si="37"/>
        <v>0</v>
      </c>
      <c r="AT59" s="91">
        <f t="shared" si="38"/>
        <v>0</v>
      </c>
      <c r="AU59" s="91">
        <f t="shared" si="39"/>
        <v>0</v>
      </c>
      <c r="AV59" s="91">
        <f t="shared" si="40"/>
        <v>0</v>
      </c>
      <c r="AW59" s="91">
        <f t="shared" si="41"/>
        <v>0</v>
      </c>
      <c r="AX59" s="91">
        <f t="shared" si="42"/>
        <v>0</v>
      </c>
      <c r="AY59" s="91">
        <f t="shared" si="43"/>
        <v>0</v>
      </c>
      <c r="AZ59" s="91">
        <f t="shared" si="44"/>
        <v>0</v>
      </c>
      <c r="BA59" s="91">
        <f t="shared" si="45"/>
        <v>0</v>
      </c>
      <c r="BB59" s="90">
        <v>0</v>
      </c>
      <c r="BC59" s="91">
        <f t="shared" si="46"/>
        <v>0</v>
      </c>
      <c r="BD59" s="91">
        <f t="shared" si="47"/>
        <v>0</v>
      </c>
      <c r="BE59" s="91">
        <f t="shared" si="48"/>
        <v>0</v>
      </c>
      <c r="BF59" s="91">
        <f t="shared" si="49"/>
        <v>0</v>
      </c>
      <c r="BG59" s="91">
        <f t="shared" si="50"/>
        <v>0</v>
      </c>
      <c r="BH59" s="91">
        <f t="shared" si="51"/>
        <v>0</v>
      </c>
      <c r="BI59" s="91">
        <f t="shared" si="52"/>
        <v>0</v>
      </c>
      <c r="BJ59" s="91">
        <f t="shared" si="53"/>
        <v>0</v>
      </c>
      <c r="BK59" s="91">
        <f t="shared" si="54"/>
        <v>0</v>
      </c>
      <c r="BL59" s="90">
        <v>0</v>
      </c>
      <c r="BM59" s="91">
        <f t="shared" si="55"/>
        <v>0</v>
      </c>
      <c r="BN59" s="91">
        <f t="shared" si="56"/>
        <v>0</v>
      </c>
      <c r="BO59" s="91">
        <f t="shared" si="57"/>
        <v>0</v>
      </c>
      <c r="BP59" s="91">
        <f t="shared" si="58"/>
        <v>0</v>
      </c>
      <c r="BQ59" s="91">
        <f t="shared" si="59"/>
        <v>0</v>
      </c>
      <c r="BR59" s="91">
        <f t="shared" si="60"/>
        <v>0</v>
      </c>
      <c r="BS59" s="91">
        <f t="shared" si="61"/>
        <v>0</v>
      </c>
      <c r="BT59" s="91">
        <f t="shared" si="62"/>
        <v>0</v>
      </c>
      <c r="BU59" s="91">
        <f t="shared" si="63"/>
        <v>0</v>
      </c>
      <c r="BV59" s="90">
        <v>0</v>
      </c>
      <c r="BW59" s="91">
        <f t="shared" si="64"/>
        <v>0</v>
      </c>
      <c r="BX59" s="91">
        <f t="shared" si="65"/>
        <v>0</v>
      </c>
      <c r="BY59" s="91">
        <f t="shared" si="66"/>
        <v>0</v>
      </c>
      <c r="BZ59" s="91">
        <f t="shared" si="67"/>
        <v>0</v>
      </c>
      <c r="CA59" s="90">
        <f t="shared" si="68"/>
        <v>0</v>
      </c>
      <c r="CB59" s="91">
        <f t="shared" si="69"/>
        <v>0</v>
      </c>
      <c r="CC59" s="91">
        <f t="shared" si="70"/>
        <v>0</v>
      </c>
      <c r="CD59" s="91">
        <f t="shared" si="71"/>
        <v>0</v>
      </c>
      <c r="CE59" s="91">
        <f t="shared" si="72"/>
        <v>0</v>
      </c>
      <c r="CF59" s="90">
        <v>0</v>
      </c>
      <c r="CG59" s="91">
        <f t="shared" si="73"/>
        <v>0</v>
      </c>
      <c r="CH59" s="91">
        <f t="shared" si="74"/>
        <v>0</v>
      </c>
      <c r="CI59" s="91">
        <f t="shared" si="75"/>
        <v>0</v>
      </c>
      <c r="CJ59" s="91">
        <f t="shared" si="76"/>
        <v>0</v>
      </c>
      <c r="CK59" s="90">
        <f t="shared" si="77"/>
        <v>0</v>
      </c>
      <c r="CL59" s="91">
        <f t="shared" si="78"/>
        <v>0</v>
      </c>
      <c r="CM59" s="91">
        <f t="shared" si="79"/>
        <v>0</v>
      </c>
      <c r="CN59" s="91">
        <f t="shared" si="80"/>
        <v>0</v>
      </c>
      <c r="CO59" s="91">
        <f t="shared" si="81"/>
        <v>0</v>
      </c>
      <c r="CP59" s="91">
        <v>0</v>
      </c>
      <c r="CQ59" s="91">
        <f t="shared" si="82"/>
        <v>0</v>
      </c>
      <c r="CR59" s="91">
        <f t="shared" si="83"/>
        <v>0</v>
      </c>
      <c r="CS59" s="91">
        <f t="shared" si="84"/>
        <v>0</v>
      </c>
      <c r="CT59" s="91">
        <f t="shared" si="85"/>
        <v>0</v>
      </c>
      <c r="CU59" s="91">
        <f t="shared" si="86"/>
        <v>0</v>
      </c>
      <c r="CV59" s="91">
        <f t="shared" si="87"/>
        <v>0</v>
      </c>
      <c r="CW59" s="91">
        <f t="shared" si="88"/>
        <v>0</v>
      </c>
      <c r="CX59" s="91">
        <f t="shared" si="89"/>
        <v>0</v>
      </c>
      <c r="CY59" s="92">
        <v>0</v>
      </c>
      <c r="CZ59" s="1"/>
    </row>
    <row r="60" spans="2:104" ht="15.75" hidden="1" thickTop="1" x14ac:dyDescent="0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</row>
  </sheetData>
  <sheetProtection algorithmName="SHA-512" hashValue="2Xg0svmJ8iOEYkfubKkKZ9f6gDsoiDxhNtq58Q1AN+jeFegzIZpHKuTP3w0oSt4aElHo90BB8eIcv94bsYGg5A==" saltValue="jp+7Cupjm2TYl+il7qMT9g==" spinCount="100000" sheet="1" objects="1" scenarios="1"/>
  <mergeCells count="6">
    <mergeCell ref="B42:Q42"/>
    <mergeCell ref="B2:P2"/>
    <mergeCell ref="B22:O22"/>
    <mergeCell ref="R23:X29"/>
    <mergeCell ref="R30:X31"/>
    <mergeCell ref="T33:X33"/>
  </mergeCells>
  <conditionalFormatting sqref="P4:P19">
    <cfRule type="colorScale" priority="3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24:N39">
    <cfRule type="colorScale" priority="4">
      <colorScale>
        <cfvo type="num" val="0"/>
        <cfvo type="num" val="50"/>
        <cfvo type="num" val="100"/>
        <color rgb="FF9BBB59"/>
        <color rgb="FFFDE9D9"/>
        <color rgb="FFF9B277"/>
      </colorScale>
    </cfRule>
  </conditionalFormatting>
  <conditionalFormatting sqref="E44:M59 O44:R59 T44:W59 Y44:AG59 AI44:AQ59 AS44:BA59 BC44:BK59 BM44:BU59 BW44:CE59 CG44:CO59 CQ44:CX59">
    <cfRule type="colorScale" priority="5">
      <colorScale>
        <cfvo type="formula" val="0"/>
        <cfvo type="formula" val="MAX($D$4:$O$19)/2"/>
        <cfvo type="formula" val="MAX($D$4:$O$19)"/>
        <color rgb="FF9BBB59"/>
        <color rgb="FFFDE9D9"/>
        <color rgb="FFF9B277"/>
      </colorScale>
    </cfRule>
  </conditionalFormatting>
  <dataValidations count="4">
    <dataValidation showInputMessage="1" showErrorMessage="1" sqref="O3 D3" xr:uid="{00000000-0002-0000-0900-000000000000}"/>
    <dataValidation type="whole" showInputMessage="1" showErrorMessage="1" sqref="C4:C19 C24:C39" xr:uid="{00000000-0002-0000-0900-000001000000}">
      <formula1>0</formula1>
      <formula2>8000</formula2>
    </dataValidation>
    <dataValidation type="whole" showInputMessage="1" showErrorMessage="1" sqref="E3:N3" xr:uid="{00000000-0002-0000-0900-000002000000}">
      <formula1>1</formula1>
      <formula2>98</formula2>
    </dataValidation>
    <dataValidation type="whole" showInputMessage="1" showErrorMessage="1" sqref="D23:N23" xr:uid="{00000000-0002-0000-0900-000003000000}">
      <formula1>0</formula1>
      <formula2>400</formula2>
    </dataValidation>
  </dataValidations>
  <hyperlinks>
    <hyperlink ref="R30" r:id="rId1" xr:uid="{00000000-0004-0000-0900-000000000000}"/>
  </hyperlinks>
  <pageMargins left="0.7" right="0.7" top="0.75" bottom="0.75" header="0.3" footer="0.3"/>
  <pageSetup paperSize="9" orientation="portrait" r:id="rId2"/>
  <drawing r:id="rId3"/>
  <legacyDrawing r:id="rId4"/>
  <oleObjects>
    <mc:AlternateContent xmlns:mc="http://schemas.openxmlformats.org/markup-compatibility/2006">
      <mc:Choice Requires="x14">
        <oleObject progId="Photoshop.Image.12" shapeId="3073" r:id="rId5">
          <objectPr defaultSize="0" macro="[0]!KFMIOP_CALC2_suggest_axes" altText="Suggest OPTIMAL x-axis" r:id="rId6">
            <anchor moveWithCells="1" sizeWithCells="1">
              <from>
                <xdr:col>10</xdr:col>
                <xdr:colOff>19050</xdr:colOff>
                <xdr:row>21</xdr:row>
                <xdr:rowOff>66675</xdr:rowOff>
              </from>
              <to>
                <xdr:col>13</xdr:col>
                <xdr:colOff>561975</xdr:colOff>
                <xdr:row>21</xdr:row>
                <xdr:rowOff>352425</xdr:rowOff>
              </to>
            </anchor>
          </objectPr>
        </oleObject>
      </mc:Choice>
      <mc:Fallback>
        <oleObject progId="Photoshop.Image.12" shapeId="3073" r:id="rId5"/>
      </mc:Fallback>
    </mc:AlternateContent>
  </oleObjec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B2:T45"/>
  <sheetViews>
    <sheetView showRowColHeaders="0" topLeftCell="A16" workbookViewId="0">
      <selection activeCell="C36" sqref="C36"/>
    </sheetView>
  </sheetViews>
  <sheetFormatPr defaultRowHeight="15" x14ac:dyDescent="0.25"/>
  <cols>
    <col min="1" max="2" width="9.140625" style="2" customWidth="1"/>
    <col min="3" max="14" width="9.140625" style="2"/>
    <col min="15" max="17" width="9.140625" style="2" customWidth="1"/>
    <col min="18" max="23" width="9.140625" style="2"/>
    <col min="24" max="24" width="9.140625" style="2" customWidth="1"/>
    <col min="25" max="16384" width="9.140625" style="2"/>
  </cols>
  <sheetData>
    <row r="2" spans="6:20" x14ac:dyDescent="0.25">
      <c r="F2" s="22"/>
      <c r="G2" s="22"/>
      <c r="H2" s="22"/>
      <c r="I2" s="22"/>
      <c r="J2" s="22"/>
      <c r="K2" s="22"/>
      <c r="L2" s="22"/>
      <c r="M2" s="22"/>
    </row>
    <row r="3" spans="6:20" x14ac:dyDescent="0.25">
      <c r="F3" s="48"/>
      <c r="G3" s="340" t="s">
        <v>1281</v>
      </c>
      <c r="H3" s="321"/>
      <c r="I3" s="321"/>
      <c r="J3" s="321"/>
      <c r="K3" s="321"/>
      <c r="L3" s="322"/>
      <c r="M3" s="22"/>
    </row>
    <row r="4" spans="6:20" x14ac:dyDescent="0.25">
      <c r="F4" s="48"/>
      <c r="G4" s="323"/>
      <c r="H4" s="324"/>
      <c r="I4" s="324"/>
      <c r="J4" s="324"/>
      <c r="K4" s="324"/>
      <c r="L4" s="325"/>
      <c r="M4" s="22"/>
    </row>
    <row r="5" spans="6:20" x14ac:dyDescent="0.25">
      <c r="F5" s="48"/>
      <c r="G5" s="323"/>
      <c r="H5" s="324"/>
      <c r="I5" s="324"/>
      <c r="J5" s="324"/>
      <c r="K5" s="324"/>
      <c r="L5" s="325"/>
      <c r="M5" s="22"/>
    </row>
    <row r="6" spans="6:20" x14ac:dyDescent="0.25">
      <c r="F6" s="48"/>
      <c r="G6" s="323"/>
      <c r="H6" s="324"/>
      <c r="I6" s="324"/>
      <c r="J6" s="324"/>
      <c r="K6" s="324"/>
      <c r="L6" s="325"/>
      <c r="M6" s="22"/>
    </row>
    <row r="7" spans="6:20" x14ac:dyDescent="0.25">
      <c r="F7" s="48"/>
      <c r="G7" s="323"/>
      <c r="H7" s="324"/>
      <c r="I7" s="324"/>
      <c r="J7" s="324"/>
      <c r="K7" s="324"/>
      <c r="L7" s="325"/>
      <c r="M7" s="22"/>
    </row>
    <row r="8" spans="6:20" x14ac:dyDescent="0.25">
      <c r="F8" s="58"/>
      <c r="G8" s="323"/>
      <c r="H8" s="324"/>
      <c r="I8" s="324"/>
      <c r="J8" s="324"/>
      <c r="K8" s="324"/>
      <c r="L8" s="325"/>
      <c r="M8" s="1"/>
      <c r="O8" s="1"/>
      <c r="P8" s="1"/>
      <c r="Q8" s="1"/>
      <c r="R8" s="1"/>
      <c r="S8" s="1"/>
      <c r="T8" s="1"/>
    </row>
    <row r="9" spans="6:20" x14ac:dyDescent="0.25">
      <c r="F9" s="58"/>
      <c r="G9" s="323"/>
      <c r="H9" s="324"/>
      <c r="I9" s="324"/>
      <c r="J9" s="324"/>
      <c r="K9" s="324"/>
      <c r="L9" s="325"/>
      <c r="M9" s="1"/>
      <c r="O9" s="304" t="s">
        <v>1005</v>
      </c>
      <c r="P9" s="304"/>
      <c r="Q9" s="368"/>
      <c r="R9" s="378" t="s">
        <v>1006</v>
      </c>
      <c r="S9" s="379"/>
      <c r="T9" s="1"/>
    </row>
    <row r="10" spans="6:20" x14ac:dyDescent="0.25">
      <c r="F10" s="1"/>
      <c r="G10" s="323"/>
      <c r="H10" s="324"/>
      <c r="I10" s="324"/>
      <c r="J10" s="324"/>
      <c r="K10" s="324"/>
      <c r="L10" s="325"/>
      <c r="M10" s="1"/>
      <c r="O10" s="1"/>
      <c r="P10" s="1"/>
      <c r="Q10" s="1"/>
      <c r="R10" s="1"/>
      <c r="S10" s="1"/>
      <c r="T10" s="1"/>
    </row>
    <row r="11" spans="6:20" x14ac:dyDescent="0.25">
      <c r="F11" s="48"/>
      <c r="G11" s="326" t="s">
        <v>0</v>
      </c>
      <c r="H11" s="361"/>
      <c r="I11" s="361"/>
      <c r="J11" s="361"/>
      <c r="K11" s="361"/>
      <c r="L11" s="362"/>
      <c r="M11" s="1"/>
    </row>
    <row r="12" spans="6:20" x14ac:dyDescent="0.25">
      <c r="F12" s="48"/>
      <c r="G12" s="326" t="s">
        <v>1278</v>
      </c>
      <c r="H12" s="361"/>
      <c r="I12" s="361"/>
      <c r="J12" s="361"/>
      <c r="K12" s="361"/>
      <c r="L12" s="362"/>
      <c r="M12" s="22"/>
      <c r="S12" s="277"/>
    </row>
    <row r="13" spans="6:20" x14ac:dyDescent="0.25">
      <c r="F13" s="22"/>
      <c r="G13" s="22"/>
      <c r="H13" s="22"/>
      <c r="I13" s="22"/>
      <c r="J13" s="22"/>
      <c r="K13" s="22"/>
      <c r="L13" s="22"/>
      <c r="M13" s="22"/>
    </row>
    <row r="14" spans="6:20" x14ac:dyDescent="0.25">
      <c r="F14" s="22"/>
      <c r="G14" s="180"/>
      <c r="H14" s="32" t="s">
        <v>2</v>
      </c>
      <c r="I14" s="330" t="s">
        <v>1</v>
      </c>
      <c r="J14" s="330"/>
      <c r="K14" s="179"/>
      <c r="L14" s="179"/>
      <c r="M14" s="179"/>
    </row>
    <row r="15" spans="6:20" x14ac:dyDescent="0.25">
      <c r="F15" s="22"/>
      <c r="G15" s="22"/>
      <c r="H15" s="22"/>
      <c r="I15" s="22"/>
      <c r="J15" s="22"/>
      <c r="K15" s="22"/>
      <c r="L15" s="22"/>
      <c r="M15" s="1"/>
    </row>
    <row r="17" spans="2:20" ht="31.5" thickBot="1" x14ac:dyDescent="0.3">
      <c r="B17" s="347" t="s">
        <v>1004</v>
      </c>
      <c r="C17" s="347"/>
      <c r="D17" s="347"/>
      <c r="E17" s="347"/>
      <c r="F17" s="347"/>
      <c r="G17" s="347"/>
      <c r="H17" s="347"/>
      <c r="I17" s="347"/>
      <c r="J17" s="347"/>
      <c r="K17" s="347"/>
      <c r="L17" s="347"/>
      <c r="M17" s="347"/>
      <c r="N17" s="347"/>
      <c r="O17" s="347"/>
      <c r="P17" s="347"/>
      <c r="Q17" s="347"/>
      <c r="R17" s="347"/>
      <c r="S17" s="347"/>
      <c r="T17" s="347"/>
    </row>
    <row r="18" spans="2:20" ht="30.75" customHeight="1" thickTop="1" thickBot="1" x14ac:dyDescent="0.3">
      <c r="B18" s="1"/>
      <c r="C18" s="169" t="s">
        <v>33</v>
      </c>
      <c r="D18" s="170">
        <v>480</v>
      </c>
      <c r="E18" s="171">
        <v>720</v>
      </c>
      <c r="F18" s="171">
        <v>1000</v>
      </c>
      <c r="G18" s="171">
        <v>1240</v>
      </c>
      <c r="H18" s="171">
        <v>1520</v>
      </c>
      <c r="I18" s="171">
        <v>1760</v>
      </c>
      <c r="J18" s="171">
        <v>2000</v>
      </c>
      <c r="K18" s="171">
        <v>2520</v>
      </c>
      <c r="L18" s="171">
        <v>3000</v>
      </c>
      <c r="M18" s="171">
        <v>3520</v>
      </c>
      <c r="N18" s="171">
        <v>4000</v>
      </c>
      <c r="O18" s="171">
        <v>4520</v>
      </c>
      <c r="P18" s="171">
        <v>5000</v>
      </c>
      <c r="Q18" s="171">
        <v>5720</v>
      </c>
      <c r="R18" s="171">
        <v>6000</v>
      </c>
      <c r="S18" s="172">
        <v>6720</v>
      </c>
      <c r="T18" s="150"/>
    </row>
    <row r="19" spans="2:20" ht="15.75" thickTop="1" x14ac:dyDescent="0.25">
      <c r="B19" s="1"/>
      <c r="C19" s="173">
        <v>10</v>
      </c>
      <c r="D19" s="401">
        <v>54</v>
      </c>
      <c r="E19" s="401">
        <v>55.5</v>
      </c>
      <c r="F19" s="401">
        <v>56.25</v>
      </c>
      <c r="G19" s="401">
        <v>57</v>
      </c>
      <c r="H19" s="401">
        <v>57.75</v>
      </c>
      <c r="I19" s="401">
        <v>57.75</v>
      </c>
      <c r="J19" s="401">
        <v>57.75</v>
      </c>
      <c r="K19" s="401">
        <v>57</v>
      </c>
      <c r="L19" s="401">
        <v>56.25</v>
      </c>
      <c r="M19" s="401">
        <v>56.25</v>
      </c>
      <c r="N19" s="401">
        <v>56.25</v>
      </c>
      <c r="O19" s="401">
        <v>56.25</v>
      </c>
      <c r="P19" s="401">
        <v>56.25</v>
      </c>
      <c r="Q19" s="401">
        <v>56.25</v>
      </c>
      <c r="R19" s="401">
        <v>55.5</v>
      </c>
      <c r="S19" s="402">
        <v>53.25</v>
      </c>
      <c r="T19" s="13"/>
    </row>
    <row r="20" spans="2:20" x14ac:dyDescent="0.25">
      <c r="B20" s="1"/>
      <c r="C20" s="174">
        <v>15</v>
      </c>
      <c r="D20" s="403">
        <v>51.75</v>
      </c>
      <c r="E20" s="404">
        <v>51.75</v>
      </c>
      <c r="F20" s="404">
        <v>51.75</v>
      </c>
      <c r="G20" s="404">
        <v>52.5</v>
      </c>
      <c r="H20" s="404">
        <v>53.25</v>
      </c>
      <c r="I20" s="404">
        <v>53.25</v>
      </c>
      <c r="J20" s="404">
        <v>53.25</v>
      </c>
      <c r="K20" s="404">
        <v>52.5</v>
      </c>
      <c r="L20" s="404">
        <v>51.75</v>
      </c>
      <c r="M20" s="404">
        <v>51.75</v>
      </c>
      <c r="N20" s="404">
        <v>52.5</v>
      </c>
      <c r="O20" s="404">
        <v>52.5</v>
      </c>
      <c r="P20" s="404">
        <v>53.25</v>
      </c>
      <c r="Q20" s="404">
        <v>53.25</v>
      </c>
      <c r="R20" s="404">
        <v>52.5</v>
      </c>
      <c r="S20" s="405">
        <v>50.25</v>
      </c>
      <c r="T20" s="13"/>
    </row>
    <row r="21" spans="2:20" x14ac:dyDescent="0.25">
      <c r="B21" s="1"/>
      <c r="C21" s="174">
        <v>20</v>
      </c>
      <c r="D21" s="403">
        <v>48.75</v>
      </c>
      <c r="E21" s="404">
        <v>48.75</v>
      </c>
      <c r="F21" s="404">
        <v>48.75</v>
      </c>
      <c r="G21" s="404">
        <v>49.5</v>
      </c>
      <c r="H21" s="404">
        <v>48</v>
      </c>
      <c r="I21" s="404">
        <v>48</v>
      </c>
      <c r="J21" s="404">
        <v>47.25</v>
      </c>
      <c r="K21" s="404">
        <v>46.5</v>
      </c>
      <c r="L21" s="404">
        <v>49.5</v>
      </c>
      <c r="M21" s="404">
        <v>51</v>
      </c>
      <c r="N21" s="404">
        <v>50.25</v>
      </c>
      <c r="O21" s="404">
        <v>48</v>
      </c>
      <c r="P21" s="404">
        <v>48</v>
      </c>
      <c r="Q21" s="404">
        <v>48.75</v>
      </c>
      <c r="R21" s="404">
        <v>49.5</v>
      </c>
      <c r="S21" s="405">
        <v>47.25</v>
      </c>
      <c r="T21" s="13"/>
    </row>
    <row r="22" spans="2:20" x14ac:dyDescent="0.25">
      <c r="B22" s="1"/>
      <c r="C22" s="174">
        <v>35</v>
      </c>
      <c r="D22" s="403">
        <v>35.25</v>
      </c>
      <c r="E22" s="404">
        <v>35.25</v>
      </c>
      <c r="F22" s="404">
        <v>35.25</v>
      </c>
      <c r="G22" s="404">
        <v>37.5</v>
      </c>
      <c r="H22" s="404">
        <v>38.25</v>
      </c>
      <c r="I22" s="404">
        <v>39</v>
      </c>
      <c r="J22" s="404">
        <v>39.75</v>
      </c>
      <c r="K22" s="404">
        <v>39</v>
      </c>
      <c r="L22" s="404">
        <v>47.25</v>
      </c>
      <c r="M22" s="404">
        <v>45.75</v>
      </c>
      <c r="N22" s="404">
        <v>41.25</v>
      </c>
      <c r="O22" s="404">
        <v>40.5</v>
      </c>
      <c r="P22" s="404">
        <v>41.25</v>
      </c>
      <c r="Q22" s="404">
        <v>44.25</v>
      </c>
      <c r="R22" s="404">
        <v>44.25</v>
      </c>
      <c r="S22" s="405">
        <v>43.5</v>
      </c>
      <c r="T22" s="13"/>
    </row>
    <row r="23" spans="2:20" x14ac:dyDescent="0.25">
      <c r="B23" s="1"/>
      <c r="C23" s="174">
        <v>50</v>
      </c>
      <c r="D23" s="403">
        <v>31.5</v>
      </c>
      <c r="E23" s="404">
        <v>31.5</v>
      </c>
      <c r="F23" s="404">
        <v>31.5</v>
      </c>
      <c r="G23" s="404">
        <v>33</v>
      </c>
      <c r="H23" s="404">
        <v>33</v>
      </c>
      <c r="I23" s="404">
        <v>34.5</v>
      </c>
      <c r="J23" s="404">
        <v>36</v>
      </c>
      <c r="K23" s="404">
        <v>36</v>
      </c>
      <c r="L23" s="404">
        <v>44.25</v>
      </c>
      <c r="M23" s="404">
        <v>42</v>
      </c>
      <c r="N23" s="404">
        <v>37.5</v>
      </c>
      <c r="O23" s="404">
        <v>36</v>
      </c>
      <c r="P23" s="404">
        <v>36.75</v>
      </c>
      <c r="Q23" s="404">
        <v>40.5</v>
      </c>
      <c r="R23" s="404">
        <v>41.25</v>
      </c>
      <c r="S23" s="405">
        <v>42</v>
      </c>
      <c r="T23" s="13"/>
    </row>
    <row r="24" spans="2:20" x14ac:dyDescent="0.25">
      <c r="B24" s="1"/>
      <c r="C24" s="174">
        <v>65</v>
      </c>
      <c r="D24" s="403">
        <v>27</v>
      </c>
      <c r="E24" s="404">
        <v>27</v>
      </c>
      <c r="F24" s="404">
        <v>27</v>
      </c>
      <c r="G24" s="404">
        <v>30.75</v>
      </c>
      <c r="H24" s="404">
        <v>30.75</v>
      </c>
      <c r="I24" s="404">
        <v>33</v>
      </c>
      <c r="J24" s="404">
        <v>33.75</v>
      </c>
      <c r="K24" s="404">
        <v>33.75</v>
      </c>
      <c r="L24" s="404">
        <v>41.25</v>
      </c>
      <c r="M24" s="404">
        <v>37.5</v>
      </c>
      <c r="N24" s="404">
        <v>35.25</v>
      </c>
      <c r="O24" s="404">
        <v>35.25</v>
      </c>
      <c r="P24" s="404">
        <v>36.75</v>
      </c>
      <c r="Q24" s="404">
        <v>39</v>
      </c>
      <c r="R24" s="404">
        <v>40.5</v>
      </c>
      <c r="S24" s="405">
        <v>41.25</v>
      </c>
      <c r="T24" s="13"/>
    </row>
    <row r="25" spans="2:20" x14ac:dyDescent="0.25">
      <c r="B25" s="1"/>
      <c r="C25" s="174">
        <v>80</v>
      </c>
      <c r="D25" s="403">
        <v>24</v>
      </c>
      <c r="E25" s="404">
        <v>24</v>
      </c>
      <c r="F25" s="404">
        <v>24</v>
      </c>
      <c r="G25" s="404">
        <v>27</v>
      </c>
      <c r="H25" s="404">
        <v>28.5</v>
      </c>
      <c r="I25" s="404">
        <v>30.75</v>
      </c>
      <c r="J25" s="404">
        <v>31.5</v>
      </c>
      <c r="K25" s="404">
        <v>32.25</v>
      </c>
      <c r="L25" s="404">
        <v>38.25</v>
      </c>
      <c r="M25" s="404">
        <v>36</v>
      </c>
      <c r="N25" s="404">
        <v>34.5</v>
      </c>
      <c r="O25" s="404">
        <v>33.75</v>
      </c>
      <c r="P25" s="404">
        <v>35.25</v>
      </c>
      <c r="Q25" s="404">
        <v>39</v>
      </c>
      <c r="R25" s="404">
        <v>39.75</v>
      </c>
      <c r="S25" s="405">
        <v>40.5</v>
      </c>
      <c r="T25" s="13"/>
    </row>
    <row r="26" spans="2:20" x14ac:dyDescent="0.25">
      <c r="B26" s="1"/>
      <c r="C26" s="174">
        <v>100</v>
      </c>
      <c r="D26" s="403">
        <v>21.75</v>
      </c>
      <c r="E26" s="404">
        <v>21.75</v>
      </c>
      <c r="F26" s="404">
        <v>21.75</v>
      </c>
      <c r="G26" s="404">
        <v>24.75</v>
      </c>
      <c r="H26" s="404">
        <v>27</v>
      </c>
      <c r="I26" s="404">
        <v>29.25</v>
      </c>
      <c r="J26" s="404">
        <v>29.25</v>
      </c>
      <c r="K26" s="404">
        <v>30</v>
      </c>
      <c r="L26" s="404">
        <v>36</v>
      </c>
      <c r="M26" s="404">
        <v>34.5</v>
      </c>
      <c r="N26" s="404">
        <v>33.75</v>
      </c>
      <c r="O26" s="404">
        <v>34.5</v>
      </c>
      <c r="P26" s="404">
        <v>35.25</v>
      </c>
      <c r="Q26" s="404">
        <v>39</v>
      </c>
      <c r="R26" s="404">
        <v>39.75</v>
      </c>
      <c r="S26" s="405">
        <v>39</v>
      </c>
      <c r="T26" s="13"/>
    </row>
    <row r="27" spans="2:20" x14ac:dyDescent="0.25">
      <c r="B27" s="1"/>
      <c r="C27" s="174">
        <v>120</v>
      </c>
      <c r="D27" s="403">
        <v>18.75</v>
      </c>
      <c r="E27" s="404">
        <v>18.75</v>
      </c>
      <c r="F27" s="404">
        <v>18.75</v>
      </c>
      <c r="G27" s="404">
        <v>20.25</v>
      </c>
      <c r="H27" s="404">
        <v>21.75</v>
      </c>
      <c r="I27" s="404">
        <v>27</v>
      </c>
      <c r="J27" s="404">
        <v>28.5</v>
      </c>
      <c r="K27" s="404">
        <v>29.25</v>
      </c>
      <c r="L27" s="404">
        <v>34.5</v>
      </c>
      <c r="M27" s="404">
        <v>34.5</v>
      </c>
      <c r="N27" s="404">
        <v>33.75</v>
      </c>
      <c r="O27" s="404">
        <v>34.5</v>
      </c>
      <c r="P27" s="404">
        <v>36</v>
      </c>
      <c r="Q27" s="404">
        <v>38.25</v>
      </c>
      <c r="R27" s="404">
        <v>39</v>
      </c>
      <c r="S27" s="405">
        <v>37.5</v>
      </c>
      <c r="T27" s="13"/>
    </row>
    <row r="28" spans="2:20" x14ac:dyDescent="0.25">
      <c r="B28" s="1"/>
      <c r="C28" s="174">
        <v>131</v>
      </c>
      <c r="D28" s="403">
        <v>17.25</v>
      </c>
      <c r="E28" s="404">
        <v>17.25</v>
      </c>
      <c r="F28" s="404">
        <v>17.25</v>
      </c>
      <c r="G28" s="404">
        <v>18.75</v>
      </c>
      <c r="H28" s="404">
        <v>20.25</v>
      </c>
      <c r="I28" s="404">
        <v>24</v>
      </c>
      <c r="J28" s="404">
        <v>27.75</v>
      </c>
      <c r="K28" s="404">
        <v>29.25</v>
      </c>
      <c r="L28" s="404">
        <v>34.5</v>
      </c>
      <c r="M28" s="404">
        <v>34.5</v>
      </c>
      <c r="N28" s="404">
        <v>34.5</v>
      </c>
      <c r="O28" s="404">
        <v>33.75</v>
      </c>
      <c r="P28" s="404">
        <v>35.25</v>
      </c>
      <c r="Q28" s="404">
        <v>36</v>
      </c>
      <c r="R28" s="404">
        <v>37.5</v>
      </c>
      <c r="S28" s="405">
        <v>36</v>
      </c>
      <c r="T28" s="13"/>
    </row>
    <row r="29" spans="2:20" ht="15.75" thickBot="1" x14ac:dyDescent="0.3">
      <c r="B29" s="1"/>
      <c r="C29" s="175">
        <v>145</v>
      </c>
      <c r="D29" s="406">
        <v>14.25</v>
      </c>
      <c r="E29" s="407">
        <v>14.25</v>
      </c>
      <c r="F29" s="407">
        <v>14.25</v>
      </c>
      <c r="G29" s="407">
        <v>15.75</v>
      </c>
      <c r="H29" s="407">
        <v>18.75</v>
      </c>
      <c r="I29" s="407">
        <v>23.25</v>
      </c>
      <c r="J29" s="407">
        <v>27</v>
      </c>
      <c r="K29" s="407">
        <v>30</v>
      </c>
      <c r="L29" s="407">
        <v>33</v>
      </c>
      <c r="M29" s="407">
        <v>35.25</v>
      </c>
      <c r="N29" s="407">
        <v>35.25</v>
      </c>
      <c r="O29" s="407">
        <v>33.75</v>
      </c>
      <c r="P29" s="407">
        <v>33.75</v>
      </c>
      <c r="Q29" s="407">
        <v>34.5</v>
      </c>
      <c r="R29" s="407">
        <v>36</v>
      </c>
      <c r="S29" s="408">
        <v>36</v>
      </c>
      <c r="T29" s="13"/>
    </row>
    <row r="30" spans="2:20" ht="15.75" thickTop="1" x14ac:dyDescent="0.25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</row>
    <row r="32" spans="2:20" ht="31.5" thickBot="1" x14ac:dyDescent="0.3">
      <c r="B32" s="347" t="s">
        <v>1003</v>
      </c>
      <c r="C32" s="347"/>
      <c r="D32" s="347"/>
      <c r="E32" s="347"/>
      <c r="F32" s="347"/>
      <c r="G32" s="347"/>
      <c r="H32" s="347"/>
      <c r="I32" s="347"/>
      <c r="J32" s="347"/>
      <c r="K32" s="347"/>
      <c r="L32" s="347"/>
      <c r="M32" s="347"/>
      <c r="N32" s="347"/>
      <c r="O32" s="347"/>
      <c r="P32" s="347"/>
      <c r="Q32" s="347"/>
      <c r="R32" s="347"/>
      <c r="S32" s="347"/>
      <c r="T32" s="347"/>
    </row>
    <row r="33" spans="2:20" ht="30.75" customHeight="1" thickTop="1" thickBot="1" x14ac:dyDescent="0.3">
      <c r="B33" s="1"/>
      <c r="C33" s="169" t="s">
        <v>33</v>
      </c>
      <c r="D33" s="168">
        <f>D18</f>
        <v>480</v>
      </c>
      <c r="E33" s="166">
        <f t="shared" ref="E33:S33" si="0">E18</f>
        <v>720</v>
      </c>
      <c r="F33" s="166">
        <f t="shared" si="0"/>
        <v>1000</v>
      </c>
      <c r="G33" s="166">
        <f t="shared" si="0"/>
        <v>1240</v>
      </c>
      <c r="H33" s="166">
        <f t="shared" si="0"/>
        <v>1520</v>
      </c>
      <c r="I33" s="166">
        <f t="shared" si="0"/>
        <v>1760</v>
      </c>
      <c r="J33" s="166">
        <f t="shared" si="0"/>
        <v>2000</v>
      </c>
      <c r="K33" s="166">
        <f t="shared" si="0"/>
        <v>2520</v>
      </c>
      <c r="L33" s="166">
        <f t="shared" si="0"/>
        <v>3000</v>
      </c>
      <c r="M33" s="166">
        <f t="shared" si="0"/>
        <v>3520</v>
      </c>
      <c r="N33" s="166">
        <f t="shared" si="0"/>
        <v>4000</v>
      </c>
      <c r="O33" s="166">
        <f t="shared" si="0"/>
        <v>4520</v>
      </c>
      <c r="P33" s="166">
        <f t="shared" si="0"/>
        <v>5000</v>
      </c>
      <c r="Q33" s="166">
        <f t="shared" si="0"/>
        <v>5720</v>
      </c>
      <c r="R33" s="166">
        <f t="shared" si="0"/>
        <v>6000</v>
      </c>
      <c r="S33" s="167">
        <f t="shared" si="0"/>
        <v>6720</v>
      </c>
      <c r="T33" s="150"/>
    </row>
    <row r="34" spans="2:20" ht="15.75" thickTop="1" x14ac:dyDescent="0.25">
      <c r="B34" s="1"/>
      <c r="C34" s="176">
        <v>17</v>
      </c>
      <c r="D34" s="409">
        <v>50.549999237060547</v>
      </c>
      <c r="E34" s="409">
        <v>50.549999237060547</v>
      </c>
      <c r="F34" s="409">
        <v>50.549999237060547</v>
      </c>
      <c r="G34" s="409">
        <v>51.299999237060547</v>
      </c>
      <c r="H34" s="409">
        <v>51.150001525878906</v>
      </c>
      <c r="I34" s="409">
        <v>51.150001525878906</v>
      </c>
      <c r="J34" s="409">
        <v>50.849998474121094</v>
      </c>
      <c r="K34" s="409">
        <v>50.099998474121094</v>
      </c>
      <c r="L34" s="409">
        <v>50.849998474121094</v>
      </c>
      <c r="M34" s="409">
        <v>51.450000762939453</v>
      </c>
      <c r="N34" s="409">
        <v>51.599998474121094</v>
      </c>
      <c r="O34" s="409">
        <v>50.700000762939453</v>
      </c>
      <c r="P34" s="409">
        <v>51.150001525878906</v>
      </c>
      <c r="Q34" s="409">
        <v>51.450000762939453</v>
      </c>
      <c r="R34" s="409">
        <v>51.299999237060547</v>
      </c>
      <c r="S34" s="410">
        <v>49.049999237060547</v>
      </c>
      <c r="T34" s="13"/>
    </row>
    <row r="35" spans="2:20" x14ac:dyDescent="0.25">
      <c r="B35" s="1"/>
      <c r="C35" s="177">
        <v>27</v>
      </c>
      <c r="D35" s="411">
        <v>42.450000762939453</v>
      </c>
      <c r="E35" s="412">
        <v>42.450000762939453</v>
      </c>
      <c r="F35" s="412">
        <v>42.450000762939453</v>
      </c>
      <c r="G35" s="412">
        <v>43.900001525878906</v>
      </c>
      <c r="H35" s="412">
        <v>43.450000762939453</v>
      </c>
      <c r="I35" s="412">
        <v>43.799999237060547</v>
      </c>
      <c r="J35" s="412">
        <v>43.75</v>
      </c>
      <c r="K35" s="412">
        <v>43</v>
      </c>
      <c r="L35" s="412">
        <v>47.300000190734863</v>
      </c>
      <c r="M35" s="412">
        <v>48.549999237060547</v>
      </c>
      <c r="N35" s="412">
        <v>46.049999237060547</v>
      </c>
      <c r="O35" s="412">
        <v>44.5</v>
      </c>
      <c r="P35" s="412">
        <v>44.849998474121094</v>
      </c>
      <c r="Q35" s="412">
        <v>46.650001525878906</v>
      </c>
      <c r="R35" s="412">
        <v>47.049999237060547</v>
      </c>
      <c r="S35" s="413">
        <v>45.5</v>
      </c>
      <c r="T35" s="13"/>
    </row>
    <row r="36" spans="2:20" x14ac:dyDescent="0.25">
      <c r="B36" s="1"/>
      <c r="C36" s="177">
        <v>63</v>
      </c>
      <c r="D36" s="411">
        <v>33.960000991821289</v>
      </c>
      <c r="E36" s="412">
        <v>33.960000991821289</v>
      </c>
      <c r="F36" s="412">
        <v>33.960000991821289</v>
      </c>
      <c r="G36" s="412">
        <v>35.120000839233398</v>
      </c>
      <c r="H36" s="412">
        <v>34.760000228881836</v>
      </c>
      <c r="I36" s="412">
        <v>35.039999008178711</v>
      </c>
      <c r="J36" s="412">
        <v>35</v>
      </c>
      <c r="K36" s="412">
        <v>34.399999618530273</v>
      </c>
      <c r="L36" s="412">
        <v>37.839999675750732</v>
      </c>
      <c r="M36" s="412">
        <v>38.839999198913574</v>
      </c>
      <c r="N36" s="412">
        <v>36.839999198913574</v>
      </c>
      <c r="O36" s="412">
        <v>35.600000381469727</v>
      </c>
      <c r="P36" s="412">
        <v>36.75</v>
      </c>
      <c r="Q36" s="412">
        <v>39.200000762939453</v>
      </c>
      <c r="R36" s="412">
        <v>40.599998474121094</v>
      </c>
      <c r="S36" s="413">
        <v>41.349998474121094</v>
      </c>
      <c r="T36" s="13"/>
    </row>
    <row r="37" spans="2:20" x14ac:dyDescent="0.25">
      <c r="B37" s="1"/>
      <c r="C37" s="177">
        <v>76</v>
      </c>
      <c r="D37" s="411">
        <v>27.1680006980896</v>
      </c>
      <c r="E37" s="412">
        <v>27.1680006980896</v>
      </c>
      <c r="F37" s="412">
        <v>27.1680006980896</v>
      </c>
      <c r="G37" s="412">
        <v>28.096000671386719</v>
      </c>
      <c r="H37" s="412">
        <v>29.100000381469727</v>
      </c>
      <c r="I37" s="412">
        <v>31.350000381469727</v>
      </c>
      <c r="J37" s="412">
        <v>32.099998474121094</v>
      </c>
      <c r="K37" s="412">
        <v>32.650001525878906</v>
      </c>
      <c r="L37" s="412">
        <v>35.915001630783081</v>
      </c>
      <c r="M37" s="412">
        <v>36.400001525878906</v>
      </c>
      <c r="N37" s="412">
        <v>34.700000762939453</v>
      </c>
      <c r="O37" s="412">
        <v>34.150001525878906</v>
      </c>
      <c r="P37" s="412">
        <v>35.650001525878906</v>
      </c>
      <c r="Q37" s="412">
        <v>39</v>
      </c>
      <c r="R37" s="412">
        <v>39.950000762939453</v>
      </c>
      <c r="S37" s="413">
        <v>40.700000762939453</v>
      </c>
      <c r="T37" s="13"/>
    </row>
    <row r="38" spans="2:20" x14ac:dyDescent="0.25">
      <c r="B38" s="1"/>
      <c r="C38" s="177">
        <v>111</v>
      </c>
      <c r="D38" s="411">
        <v>21.734400749206543</v>
      </c>
      <c r="E38" s="412">
        <v>21.734400749206543</v>
      </c>
      <c r="F38" s="412">
        <v>21.734400749206543</v>
      </c>
      <c r="G38" s="412">
        <v>22.476800441741943</v>
      </c>
      <c r="H38" s="412">
        <v>24.112499237060547</v>
      </c>
      <c r="I38" s="412">
        <v>26.523749113082886</v>
      </c>
      <c r="J38" s="412">
        <v>28.837499618530273</v>
      </c>
      <c r="K38" s="412">
        <v>29.587499618530273</v>
      </c>
      <c r="L38" s="412">
        <v>32.546249628067017</v>
      </c>
      <c r="M38" s="412">
        <v>34.5</v>
      </c>
      <c r="N38" s="412">
        <v>33.75</v>
      </c>
      <c r="O38" s="412">
        <v>34.5</v>
      </c>
      <c r="P38" s="412">
        <v>35.662498474121094</v>
      </c>
      <c r="Q38" s="412">
        <v>38.587501525878906</v>
      </c>
      <c r="R38" s="412">
        <v>39.337501525878906</v>
      </c>
      <c r="S38" s="413">
        <v>38.174999237060547</v>
      </c>
      <c r="T38" s="13"/>
    </row>
    <row r="39" spans="2:20" x14ac:dyDescent="0.25">
      <c r="B39" s="1"/>
      <c r="C39" s="177">
        <v>134</v>
      </c>
      <c r="D39" s="411">
        <v>17.387520790100098</v>
      </c>
      <c r="E39" s="412">
        <v>17.387520790100098</v>
      </c>
      <c r="F39" s="412">
        <v>17.387520790100098</v>
      </c>
      <c r="G39" s="412">
        <v>18.107143402099609</v>
      </c>
      <c r="H39" s="412">
        <v>19.917857766151428</v>
      </c>
      <c r="I39" s="412">
        <v>21.909643530845642</v>
      </c>
      <c r="J39" s="412">
        <v>24.100607991218567</v>
      </c>
      <c r="K39" s="412">
        <v>26.510668873786926</v>
      </c>
      <c r="L39" s="412">
        <v>29.161735653877258</v>
      </c>
      <c r="M39" s="412">
        <v>32.077909111976624</v>
      </c>
      <c r="N39" s="412">
        <v>34.660713195800781</v>
      </c>
      <c r="O39" s="412">
        <v>33.75</v>
      </c>
      <c r="P39" s="412">
        <v>34.928569793701172</v>
      </c>
      <c r="Q39" s="412">
        <v>35.678569793701172</v>
      </c>
      <c r="R39" s="412">
        <v>37.178569793701172</v>
      </c>
      <c r="S39" s="413">
        <v>36</v>
      </c>
      <c r="T39" s="13"/>
    </row>
    <row r="40" spans="2:20" x14ac:dyDescent="0.25">
      <c r="B40" s="1"/>
      <c r="C40" s="177">
        <v>141</v>
      </c>
      <c r="D40" s="411">
        <v>17.25</v>
      </c>
      <c r="E40" s="412">
        <v>17.25</v>
      </c>
      <c r="F40" s="412">
        <v>17.25</v>
      </c>
      <c r="G40" s="412">
        <v>18.75</v>
      </c>
      <c r="H40" s="412">
        <v>20.25</v>
      </c>
      <c r="I40" s="412">
        <v>22.275000095367432</v>
      </c>
      <c r="J40" s="412">
        <v>24.502500057220459</v>
      </c>
      <c r="K40" s="412">
        <v>26.952749967575073</v>
      </c>
      <c r="L40" s="412">
        <v>29.648025035858154</v>
      </c>
      <c r="M40" s="412">
        <v>32.61282753944397</v>
      </c>
      <c r="N40" s="412">
        <v>34.5</v>
      </c>
      <c r="O40" s="412">
        <v>33.75</v>
      </c>
      <c r="P40" s="412">
        <v>35.25</v>
      </c>
      <c r="Q40" s="412">
        <v>36</v>
      </c>
      <c r="R40" s="412">
        <v>37.5</v>
      </c>
      <c r="S40" s="413">
        <v>36</v>
      </c>
      <c r="T40" s="13"/>
    </row>
    <row r="41" spans="2:20" x14ac:dyDescent="0.25">
      <c r="B41" s="1"/>
      <c r="C41" s="177">
        <v>148</v>
      </c>
      <c r="D41" s="411">
        <v>13.799999952316284</v>
      </c>
      <c r="E41" s="412">
        <v>13.799999952316284</v>
      </c>
      <c r="F41" s="412">
        <v>13.799999952316284</v>
      </c>
      <c r="G41" s="412">
        <v>15.107142448425293</v>
      </c>
      <c r="H41" s="412">
        <v>16.617856740951538</v>
      </c>
      <c r="I41" s="412">
        <v>18.279642462730408</v>
      </c>
      <c r="J41" s="412">
        <v>20.107606768608093</v>
      </c>
      <c r="K41" s="412">
        <v>22.118367552757263</v>
      </c>
      <c r="L41" s="412">
        <v>24.330204367637634</v>
      </c>
      <c r="M41" s="412">
        <v>26.763224720954895</v>
      </c>
      <c r="N41" s="412">
        <v>29.439547181129456</v>
      </c>
      <c r="O41" s="412">
        <v>32.383501887321472</v>
      </c>
      <c r="P41" s="412">
        <v>33.428569793701172</v>
      </c>
      <c r="Q41" s="412">
        <v>34.178569793701172</v>
      </c>
      <c r="R41" s="412">
        <v>35.678569793701172</v>
      </c>
      <c r="S41" s="413">
        <v>36</v>
      </c>
      <c r="T41" s="13"/>
    </row>
    <row r="42" spans="2:20" x14ac:dyDescent="0.25">
      <c r="B42" s="1"/>
      <c r="C42" s="177">
        <v>171</v>
      </c>
      <c r="D42" s="411">
        <v>11.039999961853027</v>
      </c>
      <c r="E42" s="412">
        <v>11.039999961853027</v>
      </c>
      <c r="F42" s="412">
        <v>11.039999961853027</v>
      </c>
      <c r="G42" s="412">
        <v>12.085713863372803</v>
      </c>
      <c r="H42" s="412">
        <v>13.294285297393799</v>
      </c>
      <c r="I42" s="412">
        <v>14.623713850975037</v>
      </c>
      <c r="J42" s="412">
        <v>16.086085200309753</v>
      </c>
      <c r="K42" s="412">
        <v>17.694693684577942</v>
      </c>
      <c r="L42" s="412">
        <v>19.464163064956665</v>
      </c>
      <c r="M42" s="412">
        <v>21.410579323768616</v>
      </c>
      <c r="N42" s="412">
        <v>23.551637291908264</v>
      </c>
      <c r="O42" s="412">
        <v>25.906801104545593</v>
      </c>
      <c r="P42" s="412">
        <v>28.497481226921082</v>
      </c>
      <c r="Q42" s="412">
        <v>31.347229361534119</v>
      </c>
      <c r="R42" s="412">
        <v>33.214286804199219</v>
      </c>
      <c r="S42" s="413">
        <v>36</v>
      </c>
      <c r="T42" s="13"/>
    </row>
    <row r="43" spans="2:20" x14ac:dyDescent="0.25">
      <c r="B43" s="1"/>
      <c r="C43" s="177">
        <v>181</v>
      </c>
      <c r="D43" s="411">
        <v>8.8320000171661377</v>
      </c>
      <c r="E43" s="412">
        <v>8.8320000171661377</v>
      </c>
      <c r="F43" s="412">
        <v>8.8320000171661377</v>
      </c>
      <c r="G43" s="412">
        <v>9.6685709953308105</v>
      </c>
      <c r="H43" s="412">
        <v>10.635428071022034</v>
      </c>
      <c r="I43" s="412">
        <v>11.698970913887024</v>
      </c>
      <c r="J43" s="412">
        <v>12.868867993354797</v>
      </c>
      <c r="K43" s="412">
        <v>14.155754804611206</v>
      </c>
      <c r="L43" s="412">
        <v>15.571330308914185</v>
      </c>
      <c r="M43" s="412">
        <v>17.128463387489319</v>
      </c>
      <c r="N43" s="412">
        <v>18.841309666633606</v>
      </c>
      <c r="O43" s="412">
        <v>20.725440621376038</v>
      </c>
      <c r="P43" s="412">
        <v>22.797984719276428</v>
      </c>
      <c r="Q43" s="412">
        <v>25.077783226966858</v>
      </c>
      <c r="R43" s="412">
        <v>27.585561633110046</v>
      </c>
      <c r="S43" s="413">
        <v>30.344117760658264</v>
      </c>
      <c r="T43" s="13"/>
    </row>
    <row r="44" spans="2:20" ht="15.75" thickBot="1" x14ac:dyDescent="0.3">
      <c r="B44" s="1"/>
      <c r="C44" s="178">
        <v>190</v>
      </c>
      <c r="D44" s="414">
        <v>7.0656000375747681</v>
      </c>
      <c r="E44" s="415">
        <v>7.0656000375747681</v>
      </c>
      <c r="F44" s="415">
        <v>7.0656000375747681</v>
      </c>
      <c r="G44" s="415">
        <v>7.7348568439483643</v>
      </c>
      <c r="H44" s="415">
        <v>8.5083425045013428</v>
      </c>
      <c r="I44" s="415">
        <v>9.3591767549514771</v>
      </c>
      <c r="J44" s="415">
        <v>10.295094430446625</v>
      </c>
      <c r="K44" s="415">
        <v>11.324603855609894</v>
      </c>
      <c r="L44" s="415">
        <v>12.457064211368561</v>
      </c>
      <c r="M44" s="415">
        <v>13.70277065038681</v>
      </c>
      <c r="N44" s="415">
        <v>15.073047697544098</v>
      </c>
      <c r="O44" s="415">
        <v>16.580352485179901</v>
      </c>
      <c r="P44" s="415">
        <v>18.238387763500214</v>
      </c>
      <c r="Q44" s="415">
        <v>20.062226593494415</v>
      </c>
      <c r="R44" s="415">
        <v>22.068449318408966</v>
      </c>
      <c r="S44" s="416">
        <v>24.275294363498688</v>
      </c>
      <c r="T44" s="13"/>
    </row>
    <row r="45" spans="2:20" ht="15.75" thickTop="1" x14ac:dyDescent="0.25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</row>
  </sheetData>
  <sheetProtection algorithmName="SHA-512" hashValue="KpXScedHmQNavVx8rkpf/tRK03bzTxtbV0/xrYwApG+FRZH8aHA4N1n2E4EUseLlvwijKpOYdpgD9HrKp8aSgw==" saltValue="HaN+Z0pD6AujutV43OccZg==" spinCount="100000" sheet="1" objects="1" scenarios="1"/>
  <mergeCells count="8">
    <mergeCell ref="B17:T17"/>
    <mergeCell ref="G3:L10"/>
    <mergeCell ref="I14:J14"/>
    <mergeCell ref="B32:T32"/>
    <mergeCell ref="O9:Q9"/>
    <mergeCell ref="R9:S9"/>
    <mergeCell ref="G11:L11"/>
    <mergeCell ref="G12:L12"/>
  </mergeCells>
  <conditionalFormatting sqref="T19:T29">
    <cfRule type="colorScale" priority="4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T34:T44">
    <cfRule type="colorScale" priority="2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34:S44">
    <cfRule type="colorScale" priority="1">
      <colorScale>
        <cfvo type="num" val="0"/>
        <cfvo type="num" val="45"/>
        <cfvo type="num" val="90"/>
        <color rgb="FF9BBB59"/>
        <color rgb="FFFDE9D9"/>
        <color rgb="FFF9B277"/>
      </colorScale>
    </cfRule>
  </conditionalFormatting>
  <dataValidations count="4">
    <dataValidation type="decimal" showInputMessage="1" showErrorMessage="1" sqref="D19:S29" xr:uid="{00000000-0002-0000-0A00-000000000000}">
      <formula1>-90</formula1>
      <formula2>90</formula2>
    </dataValidation>
    <dataValidation type="decimal" showInputMessage="1" showErrorMessage="1" sqref="C19:C29" xr:uid="{00000000-0002-0000-0A00-000001000000}">
      <formula1>0</formula1>
      <formula2>300</formula2>
    </dataValidation>
    <dataValidation type="decimal" showInputMessage="1" showErrorMessage="1" sqref="D18:S18" xr:uid="{00000000-0002-0000-0A00-000002000000}">
      <formula1>0</formula1>
      <formula2>8000</formula2>
    </dataValidation>
    <dataValidation type="list" showInputMessage="1" showErrorMessage="1" sqref="R9:S9" xr:uid="{00000000-0002-0000-0A00-000003000000}">
      <formula1>"ENABLE,DISABLE"</formula1>
    </dataValidation>
  </dataValidations>
  <hyperlinks>
    <hyperlink ref="G11" r:id="rId1" xr:uid="{00000000-0004-0000-0A00-000000000000}"/>
    <hyperlink ref="G12" r:id="rId2" xr:uid="{3306B2EC-AB32-4238-BE88-AD6C2DB98EAC}"/>
  </hyperlinks>
  <pageMargins left="0.7" right="0.7" top="0.75" bottom="0.75" header="0.3" footer="0.3"/>
  <pageSetup paperSize="9" orientation="portrait" horizontalDpi="4294967293" verticalDpi="4294967293"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B3:AC52"/>
  <sheetViews>
    <sheetView showRowColHeaders="0" workbookViewId="0">
      <selection activeCell="X28" sqref="X28"/>
    </sheetView>
  </sheetViews>
  <sheetFormatPr defaultRowHeight="15" x14ac:dyDescent="0.25"/>
  <cols>
    <col min="1" max="1" width="2" style="2" customWidth="1"/>
    <col min="2" max="2" width="1.7109375" style="2" customWidth="1"/>
    <col min="3" max="19" width="9.140625" style="2"/>
    <col min="20" max="20" width="1.7109375" style="2" customWidth="1"/>
    <col min="21" max="21" width="2" style="2" customWidth="1"/>
    <col min="22" max="22" width="4.7109375" style="2" customWidth="1"/>
    <col min="23" max="27" width="9.140625" style="2"/>
    <col min="28" max="28" width="4.7109375" style="2" customWidth="1"/>
    <col min="29" max="16384" width="9.140625" style="2"/>
  </cols>
  <sheetData>
    <row r="3" spans="2:29" ht="31.5" thickBot="1" x14ac:dyDescent="0.3">
      <c r="B3" s="347" t="s">
        <v>18</v>
      </c>
      <c r="C3" s="348"/>
      <c r="D3" s="348"/>
      <c r="E3" s="348"/>
      <c r="F3" s="348"/>
      <c r="G3" s="348"/>
      <c r="H3" s="348"/>
      <c r="I3" s="348"/>
      <c r="J3" s="348"/>
      <c r="K3" s="348"/>
      <c r="L3" s="348"/>
      <c r="M3" s="348"/>
      <c r="N3" s="348"/>
      <c r="O3" s="348"/>
      <c r="P3" s="348"/>
      <c r="Q3" s="348"/>
      <c r="R3" s="348"/>
      <c r="S3" s="348"/>
      <c r="T3" s="348"/>
    </row>
    <row r="4" spans="2:29" ht="30.75" customHeight="1" thickTop="1" thickBot="1" x14ac:dyDescent="0.3">
      <c r="B4" s="1"/>
      <c r="C4" s="7" t="s">
        <v>16</v>
      </c>
      <c r="D4" s="96">
        <v>0</v>
      </c>
      <c r="E4" s="94">
        <v>5</v>
      </c>
      <c r="F4" s="94">
        <v>10</v>
      </c>
      <c r="G4" s="94">
        <v>15</v>
      </c>
      <c r="H4" s="94">
        <v>20</v>
      </c>
      <c r="I4" s="94">
        <v>25</v>
      </c>
      <c r="J4" s="94">
        <v>30</v>
      </c>
      <c r="K4" s="94">
        <v>35</v>
      </c>
      <c r="L4" s="94">
        <v>40</v>
      </c>
      <c r="M4" s="94">
        <v>50</v>
      </c>
      <c r="N4" s="94">
        <v>60</v>
      </c>
      <c r="O4" s="94">
        <v>70</v>
      </c>
      <c r="P4" s="94">
        <v>75</v>
      </c>
      <c r="Q4" s="94">
        <v>80</v>
      </c>
      <c r="R4" s="94">
        <v>85</v>
      </c>
      <c r="S4" s="95">
        <v>99</v>
      </c>
      <c r="T4" s="8"/>
      <c r="V4" s="22"/>
      <c r="W4" s="22"/>
      <c r="X4" s="22"/>
      <c r="Y4" s="22"/>
      <c r="Z4" s="22"/>
      <c r="AA4" s="22"/>
      <c r="AB4" s="22"/>
    </row>
    <row r="5" spans="2:29" ht="15.75" thickTop="1" x14ac:dyDescent="0.25">
      <c r="B5" s="1"/>
      <c r="C5" s="74">
        <v>480</v>
      </c>
      <c r="D5" s="10">
        <v>0</v>
      </c>
      <c r="E5" s="11">
        <v>10.72</v>
      </c>
      <c r="F5" s="11">
        <v>20.72</v>
      </c>
      <c r="G5" s="11">
        <v>47.666308571428587</v>
      </c>
      <c r="H5" s="11">
        <v>62.614582857142871</v>
      </c>
      <c r="I5" s="11">
        <v>94.987350000000021</v>
      </c>
      <c r="J5" s="11">
        <v>118.59982000000004</v>
      </c>
      <c r="K5" s="11">
        <v>126.76065285714287</v>
      </c>
      <c r="L5" s="11">
        <v>135.19555885714286</v>
      </c>
      <c r="M5" s="11">
        <v>141.29010285714287</v>
      </c>
      <c r="N5" s="11">
        <v>147.15729142857145</v>
      </c>
      <c r="O5" s="11">
        <v>153.81166114285716</v>
      </c>
      <c r="P5" s="11">
        <v>162.02505142857149</v>
      </c>
      <c r="Q5" s="11">
        <v>171.65240857142859</v>
      </c>
      <c r="R5" s="11">
        <v>176.91250800000003</v>
      </c>
      <c r="S5" s="12">
        <v>181.26841317142862</v>
      </c>
      <c r="T5" s="13"/>
      <c r="V5" s="48"/>
      <c r="W5" s="320" t="s">
        <v>31</v>
      </c>
      <c r="X5" s="321"/>
      <c r="Y5" s="321"/>
      <c r="Z5" s="321"/>
      <c r="AA5" s="322"/>
      <c r="AB5" s="22"/>
    </row>
    <row r="6" spans="2:29" x14ac:dyDescent="0.25">
      <c r="B6" s="1"/>
      <c r="C6" s="75">
        <v>720</v>
      </c>
      <c r="D6" s="15">
        <v>0</v>
      </c>
      <c r="E6" s="16">
        <v>11.08</v>
      </c>
      <c r="F6" s="16">
        <v>21.08</v>
      </c>
      <c r="G6" s="16">
        <v>48.552022857142873</v>
      </c>
      <c r="H6" s="16">
        <v>63.393154285714303</v>
      </c>
      <c r="I6" s="16">
        <v>95.874850000000023</v>
      </c>
      <c r="J6" s="16">
        <v>119.48732000000004</v>
      </c>
      <c r="K6" s="16">
        <v>127.55172428571431</v>
      </c>
      <c r="L6" s="16">
        <v>135.91913028571429</v>
      </c>
      <c r="M6" s="16">
        <v>141.87867428571431</v>
      </c>
      <c r="N6" s="16">
        <v>147.65907714285717</v>
      </c>
      <c r="O6" s="16">
        <v>154.25558971428575</v>
      </c>
      <c r="P6" s="16">
        <v>162.45933714285721</v>
      </c>
      <c r="Q6" s="16">
        <v>172.08187285714288</v>
      </c>
      <c r="R6" s="16">
        <v>177.32750800000002</v>
      </c>
      <c r="S6" s="17">
        <v>181.63037745714291</v>
      </c>
      <c r="T6" s="13"/>
      <c r="V6" s="48"/>
      <c r="W6" s="323"/>
      <c r="X6" s="324"/>
      <c r="Y6" s="324"/>
      <c r="Z6" s="324"/>
      <c r="AA6" s="325"/>
      <c r="AB6" s="22"/>
    </row>
    <row r="7" spans="2:29" x14ac:dyDescent="0.25">
      <c r="B7" s="1"/>
      <c r="C7" s="75">
        <v>1000</v>
      </c>
      <c r="D7" s="15">
        <v>0</v>
      </c>
      <c r="E7" s="16">
        <v>11.5</v>
      </c>
      <c r="F7" s="16">
        <v>21.5</v>
      </c>
      <c r="G7" s="16">
        <v>49.585356190476197</v>
      </c>
      <c r="H7" s="16">
        <v>64.301487619047634</v>
      </c>
      <c r="I7" s="16">
        <v>96.910266666666701</v>
      </c>
      <c r="J7" s="16">
        <v>120.5227366666667</v>
      </c>
      <c r="K7" s="16">
        <v>128.47464095238098</v>
      </c>
      <c r="L7" s="16">
        <v>136.76329695238098</v>
      </c>
      <c r="M7" s="16">
        <v>142.56534095238098</v>
      </c>
      <c r="N7" s="16">
        <v>148.24449380952385</v>
      </c>
      <c r="O7" s="16">
        <v>154.7735063809524</v>
      </c>
      <c r="P7" s="16">
        <v>162.96600380952384</v>
      </c>
      <c r="Q7" s="16">
        <v>172.58291452380954</v>
      </c>
      <c r="R7" s="16">
        <v>177.8116746666667</v>
      </c>
      <c r="S7" s="17">
        <v>182.05266912380955</v>
      </c>
      <c r="T7" s="13"/>
      <c r="V7" s="48"/>
      <c r="W7" s="323"/>
      <c r="X7" s="324"/>
      <c r="Y7" s="324"/>
      <c r="Z7" s="324"/>
      <c r="AA7" s="325"/>
      <c r="AB7" s="22"/>
    </row>
    <row r="8" spans="2:29" x14ac:dyDescent="0.25">
      <c r="B8" s="1"/>
      <c r="C8" s="75">
        <v>1240</v>
      </c>
      <c r="D8" s="15">
        <v>0</v>
      </c>
      <c r="E8" s="16">
        <v>11.866736190476191</v>
      </c>
      <c r="F8" s="16">
        <v>21.914246190476192</v>
      </c>
      <c r="G8" s="16">
        <v>50.572826666666671</v>
      </c>
      <c r="H8" s="16">
        <v>65.229325238095257</v>
      </c>
      <c r="I8" s="16">
        <v>97.994542857142875</v>
      </c>
      <c r="J8" s="16">
        <v>121.65452285714289</v>
      </c>
      <c r="K8" s="16">
        <v>129.5575085714286</v>
      </c>
      <c r="L8" s="16">
        <v>137.82617457142857</v>
      </c>
      <c r="M8" s="16">
        <v>143.5882385714286</v>
      </c>
      <c r="N8" s="16">
        <v>149.27562571428575</v>
      </c>
      <c r="O8" s="16">
        <v>155.84180114285718</v>
      </c>
      <c r="P8" s="16">
        <v>164.07216571428575</v>
      </c>
      <c r="Q8" s="16">
        <v>173.73176500000002</v>
      </c>
      <c r="R8" s="16">
        <v>178.99357085714288</v>
      </c>
      <c r="S8" s="17">
        <v>183.31455760000003</v>
      </c>
      <c r="T8" s="13"/>
      <c r="V8" s="48"/>
      <c r="W8" s="323"/>
      <c r="X8" s="324"/>
      <c r="Y8" s="324"/>
      <c r="Z8" s="324"/>
      <c r="AA8" s="325"/>
      <c r="AB8" s="22"/>
    </row>
    <row r="9" spans="2:29" x14ac:dyDescent="0.25">
      <c r="B9" s="1"/>
      <c r="C9" s="75">
        <v>1520</v>
      </c>
      <c r="D9" s="15">
        <v>0</v>
      </c>
      <c r="E9" s="16">
        <v>12.297639047619048</v>
      </c>
      <c r="F9" s="16">
        <v>22.392659047619048</v>
      </c>
      <c r="G9" s="16">
        <v>51.712082857142867</v>
      </c>
      <c r="H9" s="16">
        <v>66.291091428571434</v>
      </c>
      <c r="I9" s="16">
        <v>99.230902380952401</v>
      </c>
      <c r="J9" s="16">
        <v>122.93839238095241</v>
      </c>
      <c r="K9" s="16">
        <v>130.77638809523813</v>
      </c>
      <c r="L9" s="16">
        <v>139.0138140952381</v>
      </c>
      <c r="M9" s="16">
        <v>144.71339809523812</v>
      </c>
      <c r="N9" s="16">
        <v>150.39455523809525</v>
      </c>
      <c r="O9" s="16">
        <v>156.98825066666669</v>
      </c>
      <c r="P9" s="16">
        <v>165.25487523809528</v>
      </c>
      <c r="Q9" s="16">
        <v>174.95635952380951</v>
      </c>
      <c r="R9" s="16">
        <v>180.24880038095239</v>
      </c>
      <c r="S9" s="17">
        <v>184.64094012380957</v>
      </c>
      <c r="T9" s="13"/>
      <c r="V9" s="48"/>
      <c r="W9" s="323"/>
      <c r="X9" s="324"/>
      <c r="Y9" s="324"/>
      <c r="Z9" s="324"/>
      <c r="AA9" s="325"/>
      <c r="AB9" s="22"/>
    </row>
    <row r="10" spans="2:29" x14ac:dyDescent="0.25">
      <c r="B10" s="1"/>
      <c r="C10" s="75">
        <v>1760</v>
      </c>
      <c r="D10" s="15">
        <v>0</v>
      </c>
      <c r="E10" s="16">
        <v>12.671815714285716</v>
      </c>
      <c r="F10" s="16">
        <v>22.814345714285714</v>
      </c>
      <c r="G10" s="16">
        <v>52.706993809523823</v>
      </c>
      <c r="H10" s="16">
        <v>67.226369523809524</v>
      </c>
      <c r="I10" s="16">
        <v>100.32261904761909</v>
      </c>
      <c r="J10" s="16">
        <v>124.07761904761908</v>
      </c>
      <c r="K10" s="16">
        <v>131.8666961904762</v>
      </c>
      <c r="L10" s="16">
        <v>140.0841321904762</v>
      </c>
      <c r="M10" s="16">
        <v>145.74373619047623</v>
      </c>
      <c r="N10" s="16">
        <v>151.43312761904764</v>
      </c>
      <c r="O10" s="16">
        <v>158.06398590476192</v>
      </c>
      <c r="P10" s="16">
        <v>166.36847761904767</v>
      </c>
      <c r="Q10" s="16">
        <v>176.11265047619051</v>
      </c>
      <c r="R10" s="16">
        <v>181.43813704761908</v>
      </c>
      <c r="S10" s="17">
        <v>185.91026907619053</v>
      </c>
      <c r="T10" s="13"/>
      <c r="V10" s="58"/>
      <c r="W10" s="323"/>
      <c r="X10" s="324"/>
      <c r="Y10" s="324"/>
      <c r="Z10" s="324"/>
      <c r="AA10" s="325"/>
      <c r="AB10" s="1"/>
    </row>
    <row r="11" spans="2:29" x14ac:dyDescent="0.25">
      <c r="B11" s="1"/>
      <c r="C11" s="75">
        <v>2000</v>
      </c>
      <c r="D11" s="15">
        <v>0</v>
      </c>
      <c r="E11" s="16">
        <v>13.061954761904762</v>
      </c>
      <c r="F11" s="16">
        <v>23.29950476190476</v>
      </c>
      <c r="G11" s="16">
        <v>53.812887142857157</v>
      </c>
      <c r="H11" s="16">
        <v>68.320140000000023</v>
      </c>
      <c r="I11" s="16">
        <v>101.62033809523813</v>
      </c>
      <c r="J11" s="16">
        <v>125.47035809523813</v>
      </c>
      <c r="K11" s="16">
        <v>133.25802666666667</v>
      </c>
      <c r="L11" s="16">
        <v>141.5029826666667</v>
      </c>
      <c r="M11" s="16">
        <v>147.21762666666672</v>
      </c>
      <c r="N11" s="16">
        <v>153.01027238095242</v>
      </c>
      <c r="O11" s="16">
        <v>159.77331352380955</v>
      </c>
      <c r="P11" s="16">
        <v>168.16318238095243</v>
      </c>
      <c r="Q11" s="16">
        <v>177.99755380952385</v>
      </c>
      <c r="R11" s="16">
        <v>183.40359609523813</v>
      </c>
      <c r="S11" s="17">
        <v>188.08874840952384</v>
      </c>
      <c r="T11" s="13"/>
      <c r="V11" s="58"/>
      <c r="W11" s="323"/>
      <c r="X11" s="324"/>
      <c r="Y11" s="324"/>
      <c r="Z11" s="324"/>
      <c r="AA11" s="325"/>
      <c r="AB11" s="1"/>
    </row>
    <row r="12" spans="2:29" x14ac:dyDescent="0.25">
      <c r="B12" s="1"/>
      <c r="C12" s="75">
        <v>2520</v>
      </c>
      <c r="D12" s="15">
        <v>0</v>
      </c>
      <c r="E12" s="16">
        <v>13.874308000000001</v>
      </c>
      <c r="F12" s="16">
        <v>24.149866000000003</v>
      </c>
      <c r="G12" s="16">
        <v>55.84030400000001</v>
      </c>
      <c r="H12" s="16">
        <v>70.153422000000006</v>
      </c>
      <c r="I12" s="16">
        <v>103.72764000000002</v>
      </c>
      <c r="J12" s="16">
        <v>127.61566800000004</v>
      </c>
      <c r="K12" s="16">
        <v>135.23241600000003</v>
      </c>
      <c r="L12" s="16">
        <v>143.36913000000001</v>
      </c>
      <c r="M12" s="16">
        <v>148.86729000000003</v>
      </c>
      <c r="N12" s="16">
        <v>154.54791600000004</v>
      </c>
      <c r="O12" s="16">
        <v>161.261616</v>
      </c>
      <c r="P12" s="16">
        <v>169.66860000000005</v>
      </c>
      <c r="Q12" s="16">
        <v>179.53053300000002</v>
      </c>
      <c r="R12" s="16">
        <v>184.94324400000005</v>
      </c>
      <c r="S12" s="17">
        <v>189.61990800000004</v>
      </c>
      <c r="T12" s="13"/>
      <c r="V12" s="1"/>
      <c r="W12" s="380"/>
      <c r="X12" s="339"/>
      <c r="Y12" s="339"/>
      <c r="Z12" s="339"/>
      <c r="AA12" s="354"/>
      <c r="AB12" s="1"/>
    </row>
    <row r="13" spans="2:29" x14ac:dyDescent="0.25">
      <c r="B13" s="1"/>
      <c r="C13" s="75">
        <v>3000</v>
      </c>
      <c r="D13" s="15">
        <v>0</v>
      </c>
      <c r="E13" s="16">
        <v>14.607089714285713</v>
      </c>
      <c r="F13" s="16">
        <v>24.863643714285715</v>
      </c>
      <c r="G13" s="16">
        <v>57.5865062857143</v>
      </c>
      <c r="H13" s="16">
        <v>71.666334571428592</v>
      </c>
      <c r="I13" s="16">
        <v>105.43940571428574</v>
      </c>
      <c r="J13" s="16">
        <v>129.30842971428575</v>
      </c>
      <c r="K13" s="16">
        <v>136.71331657142861</v>
      </c>
      <c r="L13" s="16">
        <v>144.69602657142858</v>
      </c>
      <c r="M13" s="16">
        <v>149.88617857142859</v>
      </c>
      <c r="N13" s="16">
        <v>155.35522514285717</v>
      </c>
      <c r="O13" s="16">
        <v>161.91520285714287</v>
      </c>
      <c r="P13" s="16">
        <v>170.2838971428572</v>
      </c>
      <c r="Q13" s="16">
        <v>180.1171832857143</v>
      </c>
      <c r="R13" s="16">
        <v>185.48196171428575</v>
      </c>
      <c r="S13" s="17">
        <v>189.99934308571434</v>
      </c>
      <c r="T13" s="13"/>
      <c r="V13" s="48"/>
      <c r="W13" s="326" t="s">
        <v>0</v>
      </c>
      <c r="X13" s="324"/>
      <c r="Y13" s="324"/>
      <c r="Z13" s="324"/>
      <c r="AA13" s="325"/>
      <c r="AB13" s="1"/>
    </row>
    <row r="14" spans="2:29" x14ac:dyDescent="0.25">
      <c r="B14" s="1"/>
      <c r="C14" s="75">
        <v>3520</v>
      </c>
      <c r="D14" s="15">
        <v>0</v>
      </c>
      <c r="E14" s="16">
        <v>15.398502380952381</v>
      </c>
      <c r="F14" s="16">
        <v>25.636052380952382</v>
      </c>
      <c r="G14" s="16">
        <v>59.478958571428578</v>
      </c>
      <c r="H14" s="16">
        <v>73.307640000000021</v>
      </c>
      <c r="I14" s="16">
        <v>107.29771904761908</v>
      </c>
      <c r="J14" s="16">
        <v>131.14773904761907</v>
      </c>
      <c r="K14" s="16">
        <v>138.32469333333336</v>
      </c>
      <c r="L14" s="16">
        <v>146.14214933333332</v>
      </c>
      <c r="M14" s="16">
        <v>151.00179333333335</v>
      </c>
      <c r="N14" s="16">
        <v>156.24479619047622</v>
      </c>
      <c r="O14" s="16">
        <v>162.64140876190481</v>
      </c>
      <c r="P14" s="16">
        <v>170.97020619047623</v>
      </c>
      <c r="Q14" s="16">
        <v>180.77404190476193</v>
      </c>
      <c r="R14" s="16">
        <v>186.08847704761908</v>
      </c>
      <c r="S14" s="17">
        <v>190.43773650476192</v>
      </c>
      <c r="T14" s="13"/>
      <c r="V14" s="48"/>
      <c r="W14" s="327"/>
      <c r="X14" s="328"/>
      <c r="Y14" s="328"/>
      <c r="Z14" s="328"/>
      <c r="AA14" s="329"/>
      <c r="AB14" s="22"/>
    </row>
    <row r="15" spans="2:29" x14ac:dyDescent="0.25">
      <c r="B15" s="1"/>
      <c r="C15" s="75">
        <v>4000</v>
      </c>
      <c r="D15" s="15">
        <v>0</v>
      </c>
      <c r="E15" s="16">
        <v>16.109087619047617</v>
      </c>
      <c r="F15" s="16">
        <v>26.299127619047621</v>
      </c>
      <c r="G15" s="16">
        <v>61.145952380952394</v>
      </c>
      <c r="H15" s="16">
        <v>74.712838095238112</v>
      </c>
      <c r="I15" s="16">
        <v>108.8732642857143</v>
      </c>
      <c r="J15" s="16">
        <v>132.67577428571434</v>
      </c>
      <c r="K15" s="16">
        <v>139.61236142857143</v>
      </c>
      <c r="L15" s="16">
        <v>147.24730742857145</v>
      </c>
      <c r="M15" s="16">
        <v>151.74193142857146</v>
      </c>
      <c r="N15" s="16">
        <v>156.71634285714288</v>
      </c>
      <c r="O15" s="16">
        <v>162.90222114285717</v>
      </c>
      <c r="P15" s="16">
        <v>171.1642228571429</v>
      </c>
      <c r="Q15" s="16">
        <v>180.91090571428575</v>
      </c>
      <c r="R15" s="16">
        <v>186.14890228571431</v>
      </c>
      <c r="S15" s="17">
        <v>190.25906231428576</v>
      </c>
      <c r="T15" s="13"/>
      <c r="V15" s="22"/>
      <c r="W15" s="22"/>
      <c r="X15" s="22"/>
      <c r="Y15" s="22"/>
      <c r="Z15" s="22"/>
      <c r="AA15" s="22"/>
      <c r="AB15" s="22"/>
    </row>
    <row r="16" spans="2:29" x14ac:dyDescent="0.25">
      <c r="B16" s="1"/>
      <c r="C16" s="75">
        <v>4520</v>
      </c>
      <c r="D16" s="15">
        <v>0</v>
      </c>
      <c r="E16" s="16">
        <v>16.873422857142859</v>
      </c>
      <c r="F16" s="16">
        <v>27.015952857142857</v>
      </c>
      <c r="G16" s="16">
        <v>62.954315238095248</v>
      </c>
      <c r="H16" s="16">
        <v>76.241548095238102</v>
      </c>
      <c r="I16" s="16">
        <v>110.59047619047621</v>
      </c>
      <c r="J16" s="16">
        <v>134.34547619047623</v>
      </c>
      <c r="K16" s="16">
        <v>141.02562476190477</v>
      </c>
      <c r="L16" s="16">
        <v>148.46681076190478</v>
      </c>
      <c r="M16" s="16">
        <v>152.57391476190477</v>
      </c>
      <c r="N16" s="16">
        <v>157.26527047619052</v>
      </c>
      <c r="O16" s="16">
        <v>163.23077161904766</v>
      </c>
      <c r="P16" s="16">
        <v>171.42437047619052</v>
      </c>
      <c r="Q16" s="16">
        <v>181.1130969047619</v>
      </c>
      <c r="R16" s="16">
        <v>186.27224419047621</v>
      </c>
      <c r="S16" s="17">
        <v>190.13446550476195</v>
      </c>
      <c r="T16" s="13"/>
      <c r="V16" s="22"/>
      <c r="W16" s="103"/>
      <c r="X16" s="32" t="s">
        <v>2</v>
      </c>
      <c r="Y16" s="330" t="s">
        <v>1</v>
      </c>
      <c r="Z16" s="330"/>
      <c r="AA16" s="104"/>
      <c r="AB16" s="104"/>
      <c r="AC16" s="109"/>
    </row>
    <row r="17" spans="2:28" x14ac:dyDescent="0.25">
      <c r="B17" s="1"/>
      <c r="C17" s="75">
        <v>5000</v>
      </c>
      <c r="D17" s="15">
        <v>0</v>
      </c>
      <c r="E17" s="16">
        <v>17.326438095238096</v>
      </c>
      <c r="F17" s="16">
        <v>27.088888095238094</v>
      </c>
      <c r="G17" s="16">
        <v>63.698599047619062</v>
      </c>
      <c r="H17" s="16">
        <v>76.391466190476194</v>
      </c>
      <c r="I17" s="16">
        <v>110.57817142857145</v>
      </c>
      <c r="J17" s="16">
        <v>133.95309142857144</v>
      </c>
      <c r="K17" s="16">
        <v>140.06030285714286</v>
      </c>
      <c r="L17" s="16">
        <v>146.98640885714286</v>
      </c>
      <c r="M17" s="16">
        <v>150.06335285714286</v>
      </c>
      <c r="N17" s="16">
        <v>153.82097714285715</v>
      </c>
      <c r="O17" s="16">
        <v>158.91060400000003</v>
      </c>
      <c r="P17" s="16">
        <v>166.7048371428572</v>
      </c>
      <c r="Q17" s="16">
        <v>176.00384071428573</v>
      </c>
      <c r="R17" s="16">
        <v>180.75397942857145</v>
      </c>
      <c r="S17" s="17">
        <v>183.44590531428574</v>
      </c>
      <c r="T17" s="13"/>
      <c r="V17" s="22"/>
      <c r="W17" s="22"/>
      <c r="X17" s="22"/>
      <c r="Y17" s="22"/>
      <c r="Z17" s="22"/>
      <c r="AA17" s="22"/>
      <c r="AB17" s="1"/>
    </row>
    <row r="18" spans="2:28" x14ac:dyDescent="0.25">
      <c r="B18" s="1"/>
      <c r="C18" s="75">
        <v>5720</v>
      </c>
      <c r="D18" s="15">
        <v>0</v>
      </c>
      <c r="E18" s="16">
        <v>17.978957142857141</v>
      </c>
      <c r="F18" s="16">
        <v>27.266307142857141</v>
      </c>
      <c r="G18" s="16">
        <v>64.978060952380972</v>
      </c>
      <c r="H18" s="16">
        <v>76.874399523809515</v>
      </c>
      <c r="I18" s="16">
        <v>110.91279047619049</v>
      </c>
      <c r="J18" s="16">
        <v>133.81261047619049</v>
      </c>
      <c r="K18" s="16">
        <v>139.15543619047622</v>
      </c>
      <c r="L18" s="16">
        <v>145.40394219047619</v>
      </c>
      <c r="M18" s="16">
        <v>147.12568619047622</v>
      </c>
      <c r="N18" s="16">
        <v>149.67275333333336</v>
      </c>
      <c r="O18" s="16">
        <v>153.63860876190478</v>
      </c>
      <c r="P18" s="16">
        <v>160.92881333333335</v>
      </c>
      <c r="Q18" s="16">
        <v>169.73825261904761</v>
      </c>
      <c r="R18" s="16">
        <v>173.96989847619051</v>
      </c>
      <c r="S18" s="17">
        <v>175.17243721904765</v>
      </c>
      <c r="T18" s="13"/>
    </row>
    <row r="19" spans="2:28" x14ac:dyDescent="0.25">
      <c r="B19" s="1"/>
      <c r="C19" s="75">
        <v>6000</v>
      </c>
      <c r="D19" s="15">
        <v>0</v>
      </c>
      <c r="E19" s="16">
        <v>18.241248571428571</v>
      </c>
      <c r="F19" s="16">
        <v>27.38606857142857</v>
      </c>
      <c r="G19" s="16">
        <v>65.568625714285716</v>
      </c>
      <c r="H19" s="16">
        <v>77.197434285714309</v>
      </c>
      <c r="I19" s="16">
        <v>111.2203785714286</v>
      </c>
      <c r="J19" s="16">
        <v>133.97766857142861</v>
      </c>
      <c r="K19" s="16">
        <v>139.06546428571431</v>
      </c>
      <c r="L19" s="16">
        <v>145.09269028571433</v>
      </c>
      <c r="M19" s="16">
        <v>146.37187428571431</v>
      </c>
      <c r="N19" s="16">
        <v>148.53263142857145</v>
      </c>
      <c r="O19" s="16">
        <v>152.14592685714285</v>
      </c>
      <c r="P19" s="16">
        <v>159.28235142857145</v>
      </c>
      <c r="Q19" s="16">
        <v>167.94363571428573</v>
      </c>
      <c r="R19" s="16">
        <v>172.01587657142858</v>
      </c>
      <c r="S19" s="17">
        <v>172.75745631428575</v>
      </c>
      <c r="T19" s="13"/>
    </row>
    <row r="20" spans="2:28" ht="15.75" thickBot="1" x14ac:dyDescent="0.3">
      <c r="B20" s="1"/>
      <c r="C20" s="76">
        <v>6720</v>
      </c>
      <c r="D20" s="19">
        <v>0</v>
      </c>
      <c r="E20" s="20">
        <v>18.844739999999998</v>
      </c>
      <c r="F20" s="20">
        <v>27.609479999999998</v>
      </c>
      <c r="G20" s="20">
        <v>66.989100000000008</v>
      </c>
      <c r="H20" s="20">
        <v>77.91640000000001</v>
      </c>
      <c r="I20" s="20">
        <v>111.88605000000003</v>
      </c>
      <c r="J20" s="20">
        <v>134.26326000000003</v>
      </c>
      <c r="K20" s="20">
        <v>138.68169000000003</v>
      </c>
      <c r="L20" s="20">
        <v>144.12633600000001</v>
      </c>
      <c r="M20" s="20">
        <v>144.24036000000001</v>
      </c>
      <c r="N20" s="20">
        <v>145.38060000000002</v>
      </c>
      <c r="O20" s="20">
        <v>148.06016400000001</v>
      </c>
      <c r="P20" s="20">
        <v>154.78758000000005</v>
      </c>
      <c r="Q20" s="20">
        <v>163.05432000000002</v>
      </c>
      <c r="R20" s="20">
        <v>166.70308800000001</v>
      </c>
      <c r="S20" s="21">
        <v>166.22133660000003</v>
      </c>
      <c r="T20" s="13"/>
    </row>
    <row r="21" spans="2:28" ht="15.75" thickTop="1" x14ac:dyDescent="0.25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3" spans="2:28" ht="31.5" thickBot="1" x14ac:dyDescent="0.3">
      <c r="B23" s="347" t="s">
        <v>27</v>
      </c>
      <c r="C23" s="338"/>
      <c r="D23" s="338"/>
      <c r="E23" s="338"/>
      <c r="F23" s="338"/>
      <c r="G23" s="338"/>
      <c r="H23" s="338"/>
      <c r="I23" s="338"/>
      <c r="J23" s="338"/>
      <c r="K23" s="338"/>
      <c r="L23" s="338"/>
      <c r="M23" s="338"/>
      <c r="N23" s="338"/>
      <c r="O23" s="338"/>
      <c r="P23" s="338"/>
      <c r="Q23" s="338"/>
      <c r="R23" s="338"/>
      <c r="S23" s="338"/>
      <c r="T23" s="338"/>
      <c r="U23" s="18"/>
    </row>
    <row r="24" spans="2:28" ht="30.75" customHeight="1" thickTop="1" thickBot="1" x14ac:dyDescent="0.3">
      <c r="B24" s="1"/>
      <c r="C24" s="7" t="s">
        <v>28</v>
      </c>
      <c r="D24" s="133">
        <v>1000</v>
      </c>
      <c r="E24" s="134">
        <v>1500</v>
      </c>
      <c r="F24" s="134">
        <v>1750</v>
      </c>
      <c r="G24" s="134">
        <v>1950</v>
      </c>
      <c r="H24" s="134">
        <v>2250</v>
      </c>
      <c r="I24" s="134">
        <v>2500</v>
      </c>
      <c r="J24" s="134">
        <v>3000</v>
      </c>
      <c r="K24" s="134">
        <v>3500</v>
      </c>
      <c r="L24" s="134">
        <v>4000</v>
      </c>
      <c r="M24" s="134">
        <v>4500</v>
      </c>
      <c r="N24" s="135">
        <v>5000</v>
      </c>
      <c r="O24" s="136">
        <v>5500</v>
      </c>
      <c r="P24" s="137">
        <v>5700</v>
      </c>
      <c r="Q24" s="137">
        <v>5900</v>
      </c>
      <c r="R24" s="138">
        <v>6100</v>
      </c>
      <c r="S24" s="139">
        <v>6700</v>
      </c>
      <c r="T24" s="1"/>
    </row>
    <row r="25" spans="2:28" ht="16.5" thickTop="1" thickBot="1" x14ac:dyDescent="0.3">
      <c r="B25" s="1"/>
      <c r="C25" s="105" t="s">
        <v>29</v>
      </c>
      <c r="D25" s="140">
        <f>ROUNDUP(MAX(D36:D51)+1,0)</f>
        <v>184</v>
      </c>
      <c r="E25" s="106">
        <f t="shared" ref="E25:S25" si="0">ROUNDUP(MAX(E36:E51)+1,0)</f>
        <v>186</v>
      </c>
      <c r="F25" s="106">
        <f t="shared" si="0"/>
        <v>187</v>
      </c>
      <c r="G25" s="106">
        <f t="shared" si="0"/>
        <v>189</v>
      </c>
      <c r="H25" s="106">
        <f t="shared" si="0"/>
        <v>190</v>
      </c>
      <c r="I25" s="106">
        <f t="shared" si="0"/>
        <v>191</v>
      </c>
      <c r="J25" s="106">
        <f t="shared" si="0"/>
        <v>191</v>
      </c>
      <c r="K25" s="106">
        <f t="shared" si="0"/>
        <v>191</v>
      </c>
      <c r="L25" s="106">
        <f t="shared" si="0"/>
        <v>192</v>
      </c>
      <c r="M25" s="106">
        <f t="shared" si="0"/>
        <v>191</v>
      </c>
      <c r="N25" s="106">
        <f t="shared" si="0"/>
        <v>185</v>
      </c>
      <c r="O25" s="106">
        <f t="shared" si="0"/>
        <v>179</v>
      </c>
      <c r="P25" s="106">
        <f t="shared" si="0"/>
        <v>177</v>
      </c>
      <c r="Q25" s="106">
        <f t="shared" si="0"/>
        <v>175</v>
      </c>
      <c r="R25" s="106">
        <f t="shared" si="0"/>
        <v>174</v>
      </c>
      <c r="S25" s="107">
        <f t="shared" si="0"/>
        <v>169</v>
      </c>
      <c r="T25" s="1"/>
    </row>
    <row r="26" spans="2:28" ht="15.75" thickTop="1" x14ac:dyDescent="0.25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8" spans="2:28" ht="31.5" thickBot="1" x14ac:dyDescent="0.3">
      <c r="B28" s="347" t="s">
        <v>30</v>
      </c>
      <c r="C28" s="338"/>
      <c r="D28" s="338"/>
      <c r="E28" s="338"/>
      <c r="F28" s="338"/>
      <c r="G28" s="338"/>
      <c r="H28" s="338"/>
      <c r="I28" s="338"/>
      <c r="J28" s="338"/>
      <c r="K28" s="338"/>
      <c r="L28" s="338"/>
      <c r="M28" s="338"/>
      <c r="N28" s="338"/>
      <c r="O28" s="338"/>
      <c r="P28" s="338"/>
      <c r="Q28" s="338"/>
      <c r="R28" s="338"/>
      <c r="S28" s="338"/>
      <c r="T28" s="338"/>
    </row>
    <row r="29" spans="2:28" ht="30.75" customHeight="1" thickTop="1" thickBot="1" x14ac:dyDescent="0.3">
      <c r="B29" s="1"/>
      <c r="C29" s="117" t="s">
        <v>28</v>
      </c>
      <c r="D29" s="130">
        <f>D24</f>
        <v>1000</v>
      </c>
      <c r="E29" s="131">
        <f t="shared" ref="E29:S29" si="1">E24</f>
        <v>1500</v>
      </c>
      <c r="F29" s="131">
        <f t="shared" si="1"/>
        <v>1750</v>
      </c>
      <c r="G29" s="131">
        <f t="shared" si="1"/>
        <v>1950</v>
      </c>
      <c r="H29" s="131">
        <f t="shared" si="1"/>
        <v>2250</v>
      </c>
      <c r="I29" s="131">
        <f t="shared" si="1"/>
        <v>2500</v>
      </c>
      <c r="J29" s="131">
        <f t="shared" si="1"/>
        <v>3000</v>
      </c>
      <c r="K29" s="131">
        <f t="shared" si="1"/>
        <v>3500</v>
      </c>
      <c r="L29" s="131">
        <f t="shared" si="1"/>
        <v>4000</v>
      </c>
      <c r="M29" s="131">
        <f t="shared" si="1"/>
        <v>4500</v>
      </c>
      <c r="N29" s="131">
        <f t="shared" si="1"/>
        <v>5000</v>
      </c>
      <c r="O29" s="131">
        <f t="shared" si="1"/>
        <v>5500</v>
      </c>
      <c r="P29" s="131">
        <f t="shared" si="1"/>
        <v>5700</v>
      </c>
      <c r="Q29" s="131">
        <f t="shared" si="1"/>
        <v>5900</v>
      </c>
      <c r="R29" s="131">
        <f t="shared" si="1"/>
        <v>6100</v>
      </c>
      <c r="S29" s="132">
        <f t="shared" si="1"/>
        <v>6700</v>
      </c>
      <c r="T29" s="1"/>
    </row>
    <row r="30" spans="2:28" ht="16.5" thickTop="1" thickBot="1" x14ac:dyDescent="0.3">
      <c r="B30" s="1"/>
      <c r="C30" s="105" t="s">
        <v>29</v>
      </c>
      <c r="D30" s="140">
        <f>ROUNDUP(D25-D25/100*15, 0)</f>
        <v>157</v>
      </c>
      <c r="E30" s="106">
        <f t="shared" ref="E30:S30" si="2">ROUNDUP(E25-E25/100*15, 0)</f>
        <v>159</v>
      </c>
      <c r="F30" s="106">
        <f t="shared" si="2"/>
        <v>159</v>
      </c>
      <c r="G30" s="106">
        <f t="shared" si="2"/>
        <v>161</v>
      </c>
      <c r="H30" s="106">
        <f t="shared" si="2"/>
        <v>162</v>
      </c>
      <c r="I30" s="106">
        <f t="shared" si="2"/>
        <v>163</v>
      </c>
      <c r="J30" s="106">
        <f t="shared" si="2"/>
        <v>163</v>
      </c>
      <c r="K30" s="106">
        <f t="shared" si="2"/>
        <v>163</v>
      </c>
      <c r="L30" s="106">
        <f t="shared" si="2"/>
        <v>164</v>
      </c>
      <c r="M30" s="106">
        <f t="shared" si="2"/>
        <v>163</v>
      </c>
      <c r="N30" s="106">
        <f t="shared" si="2"/>
        <v>158</v>
      </c>
      <c r="O30" s="106">
        <f t="shared" si="2"/>
        <v>153</v>
      </c>
      <c r="P30" s="106">
        <f t="shared" si="2"/>
        <v>151</v>
      </c>
      <c r="Q30" s="106">
        <f t="shared" si="2"/>
        <v>149</v>
      </c>
      <c r="R30" s="106">
        <f t="shared" si="2"/>
        <v>148</v>
      </c>
      <c r="S30" s="107">
        <f t="shared" si="2"/>
        <v>144</v>
      </c>
      <c r="T30" s="1"/>
    </row>
    <row r="31" spans="2:28" ht="15.75" thickTop="1" x14ac:dyDescent="0.25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</row>
    <row r="34" spans="2:20" ht="31.5" hidden="1" thickBot="1" x14ac:dyDescent="0.3">
      <c r="B34" s="347" t="s">
        <v>32</v>
      </c>
      <c r="C34" s="353"/>
      <c r="D34" s="353"/>
      <c r="E34" s="353"/>
      <c r="F34" s="353"/>
      <c r="G34" s="353"/>
      <c r="H34" s="353"/>
      <c r="I34" s="353"/>
      <c r="J34" s="353"/>
      <c r="K34" s="353"/>
      <c r="L34" s="353"/>
      <c r="M34" s="353"/>
      <c r="N34" s="353"/>
      <c r="O34" s="353"/>
      <c r="P34" s="353"/>
      <c r="Q34" s="353"/>
      <c r="R34" s="353"/>
      <c r="S34" s="353"/>
      <c r="T34" s="353"/>
    </row>
    <row r="35" spans="2:20" ht="30.75" hidden="1" customHeight="1" thickTop="1" thickBot="1" x14ac:dyDescent="0.3">
      <c r="B35" s="1"/>
      <c r="C35" s="7" t="s">
        <v>33</v>
      </c>
      <c r="D35" s="130">
        <f>D24</f>
        <v>1000</v>
      </c>
      <c r="E35" s="131">
        <f t="shared" ref="E35:S35" si="3">E24</f>
        <v>1500</v>
      </c>
      <c r="F35" s="131">
        <f t="shared" si="3"/>
        <v>1750</v>
      </c>
      <c r="G35" s="131">
        <f t="shared" si="3"/>
        <v>1950</v>
      </c>
      <c r="H35" s="131">
        <f t="shared" si="3"/>
        <v>2250</v>
      </c>
      <c r="I35" s="131">
        <f t="shared" si="3"/>
        <v>2500</v>
      </c>
      <c r="J35" s="131">
        <f t="shared" si="3"/>
        <v>3000</v>
      </c>
      <c r="K35" s="131">
        <f t="shared" si="3"/>
        <v>3500</v>
      </c>
      <c r="L35" s="131">
        <f t="shared" si="3"/>
        <v>4000</v>
      </c>
      <c r="M35" s="131">
        <f t="shared" si="3"/>
        <v>4500</v>
      </c>
      <c r="N35" s="131">
        <f t="shared" si="3"/>
        <v>5000</v>
      </c>
      <c r="O35" s="131">
        <f t="shared" si="3"/>
        <v>5500</v>
      </c>
      <c r="P35" s="131">
        <f t="shared" si="3"/>
        <v>5700</v>
      </c>
      <c r="Q35" s="131">
        <f t="shared" si="3"/>
        <v>5900</v>
      </c>
      <c r="R35" s="131">
        <f t="shared" si="3"/>
        <v>6100</v>
      </c>
      <c r="S35" s="132">
        <f t="shared" si="3"/>
        <v>6700</v>
      </c>
      <c r="T35" s="1"/>
    </row>
    <row r="36" spans="2:20" ht="15.75" hidden="1" thickTop="1" x14ac:dyDescent="0.25">
      <c r="B36" s="1"/>
      <c r="C36" s="118">
        <f>D4</f>
        <v>0</v>
      </c>
      <c r="D36" s="121">
        <v>0</v>
      </c>
      <c r="E36" s="122">
        <v>0</v>
      </c>
      <c r="F36" s="122">
        <v>0</v>
      </c>
      <c r="G36" s="122">
        <v>0</v>
      </c>
      <c r="H36" s="122">
        <v>0</v>
      </c>
      <c r="I36" s="122">
        <v>0</v>
      </c>
      <c r="J36" s="122">
        <v>0</v>
      </c>
      <c r="K36" s="122">
        <v>0</v>
      </c>
      <c r="L36" s="122">
        <v>0</v>
      </c>
      <c r="M36" s="122">
        <v>0</v>
      </c>
      <c r="N36" s="122">
        <v>0</v>
      </c>
      <c r="O36" s="122">
        <v>0</v>
      </c>
      <c r="P36" s="122">
        <v>0</v>
      </c>
      <c r="Q36" s="122">
        <v>0</v>
      </c>
      <c r="R36" s="122">
        <v>0</v>
      </c>
      <c r="S36" s="123">
        <v>0</v>
      </c>
      <c r="T36" s="1"/>
    </row>
    <row r="37" spans="2:20" hidden="1" x14ac:dyDescent="0.25">
      <c r="B37" s="1"/>
      <c r="C37" s="119">
        <f>E4</f>
        <v>5</v>
      </c>
      <c r="D37" s="124">
        <v>11.5</v>
      </c>
      <c r="E37" s="125">
        <v>12</v>
      </c>
      <c r="F37" s="125">
        <v>12.958333333333334</v>
      </c>
      <c r="G37" s="125">
        <v>13</v>
      </c>
      <c r="H37" s="125">
        <v>13.48076923076923</v>
      </c>
      <c r="I37" s="125">
        <v>13.961538461538462</v>
      </c>
      <c r="J37" s="125">
        <v>14.607089714285713</v>
      </c>
      <c r="K37" s="125">
        <v>15</v>
      </c>
      <c r="L37" s="125">
        <v>16.109087619047617</v>
      </c>
      <c r="M37" s="125">
        <v>16.96153846153846</v>
      </c>
      <c r="N37" s="125">
        <v>17.326438095238096</v>
      </c>
      <c r="O37" s="125">
        <v>17.694444444444443</v>
      </c>
      <c r="P37" s="125">
        <v>17.972222222222221</v>
      </c>
      <c r="Q37" s="125">
        <v>18</v>
      </c>
      <c r="R37" s="125">
        <v>18.138888888888889</v>
      </c>
      <c r="S37" s="126">
        <v>18.972222222222221</v>
      </c>
      <c r="T37" s="1"/>
    </row>
    <row r="38" spans="2:20" hidden="1" x14ac:dyDescent="0.25">
      <c r="B38" s="1"/>
      <c r="C38" s="119">
        <f>F4</f>
        <v>10</v>
      </c>
      <c r="D38" s="124">
        <v>21.5</v>
      </c>
      <c r="E38" s="125">
        <v>22</v>
      </c>
      <c r="F38" s="125">
        <v>22.958333333333332</v>
      </c>
      <c r="G38" s="125">
        <v>23</v>
      </c>
      <c r="H38" s="125">
        <v>23.48076923076923</v>
      </c>
      <c r="I38" s="125">
        <v>23.96153846153846</v>
      </c>
      <c r="J38" s="125">
        <v>24.863643714285715</v>
      </c>
      <c r="K38" s="125">
        <v>25.96153846153846</v>
      </c>
      <c r="L38" s="125">
        <v>26.299127619047621</v>
      </c>
      <c r="M38" s="125">
        <v>26.96153846153846</v>
      </c>
      <c r="N38" s="125">
        <v>27.088888095238094</v>
      </c>
      <c r="O38" s="125">
        <v>27</v>
      </c>
      <c r="P38" s="125">
        <v>27</v>
      </c>
      <c r="Q38" s="125">
        <v>27</v>
      </c>
      <c r="R38" s="125">
        <v>27.138888888888889</v>
      </c>
      <c r="S38" s="126">
        <v>27.972222222222221</v>
      </c>
      <c r="T38" s="1"/>
    </row>
    <row r="39" spans="2:20" hidden="1" x14ac:dyDescent="0.25">
      <c r="B39" s="1"/>
      <c r="C39" s="119">
        <f>G4</f>
        <v>15</v>
      </c>
      <c r="D39" s="124">
        <v>49.585356190476197</v>
      </c>
      <c r="E39" s="125">
        <v>51.928571428571431</v>
      </c>
      <c r="F39" s="125">
        <v>52.958333333333336</v>
      </c>
      <c r="G39" s="125">
        <v>53.791666666666664</v>
      </c>
      <c r="H39" s="125">
        <v>54.96153846153846</v>
      </c>
      <c r="I39" s="125">
        <v>55.92307692307692</v>
      </c>
      <c r="J39" s="125">
        <v>57.5865062857143</v>
      </c>
      <c r="K39" s="125">
        <v>58.96153846153846</v>
      </c>
      <c r="L39" s="125">
        <v>61.145952380952394</v>
      </c>
      <c r="M39" s="125">
        <v>62.92307692307692</v>
      </c>
      <c r="N39" s="125">
        <v>63.698599047619062</v>
      </c>
      <c r="O39" s="125">
        <v>64.694444444444443</v>
      </c>
      <c r="P39" s="125">
        <v>64.972222222222229</v>
      </c>
      <c r="Q39" s="125">
        <v>65.642857142857139</v>
      </c>
      <c r="R39" s="125">
        <v>66.138888888888886</v>
      </c>
      <c r="S39" s="126">
        <v>66.972222222222229</v>
      </c>
      <c r="T39" s="1"/>
    </row>
    <row r="40" spans="2:20" hidden="1" x14ac:dyDescent="0.25">
      <c r="B40" s="1"/>
      <c r="C40" s="119">
        <f>H4</f>
        <v>20</v>
      </c>
      <c r="D40" s="124">
        <v>64.301487619047634</v>
      </c>
      <c r="E40" s="125">
        <v>65.928571428571431</v>
      </c>
      <c r="F40" s="125">
        <v>66.958333333333329</v>
      </c>
      <c r="G40" s="125">
        <v>67.791666666666671</v>
      </c>
      <c r="H40" s="125">
        <v>68.961538461538467</v>
      </c>
      <c r="I40" s="125">
        <v>69.92307692307692</v>
      </c>
      <c r="J40" s="125">
        <v>71.666334571428592</v>
      </c>
      <c r="K40" s="125">
        <v>72.961538461538467</v>
      </c>
      <c r="L40" s="125">
        <v>74.712838095238112</v>
      </c>
      <c r="M40" s="125">
        <v>75.961538461538467</v>
      </c>
      <c r="N40" s="125">
        <v>76.391466190476194</v>
      </c>
      <c r="O40" s="125">
        <v>76.694444444444443</v>
      </c>
      <c r="P40" s="125">
        <v>76.972222222222229</v>
      </c>
      <c r="Q40" s="125">
        <v>77</v>
      </c>
      <c r="R40" s="125">
        <v>77.138888888888886</v>
      </c>
      <c r="S40" s="126">
        <v>77.972222222222229</v>
      </c>
      <c r="T40" s="1"/>
    </row>
    <row r="41" spans="2:20" hidden="1" x14ac:dyDescent="0.25">
      <c r="B41" s="1"/>
      <c r="C41" s="119">
        <f>I4</f>
        <v>25</v>
      </c>
      <c r="D41" s="124">
        <v>96.910266666666701</v>
      </c>
      <c r="E41" s="125">
        <v>98.928571428571431</v>
      </c>
      <c r="F41" s="125">
        <v>99.958333333333329</v>
      </c>
      <c r="G41" s="125">
        <v>101.58333333333333</v>
      </c>
      <c r="H41" s="125">
        <v>102.96153846153847</v>
      </c>
      <c r="I41" s="125">
        <v>103.92307692307692</v>
      </c>
      <c r="J41" s="125">
        <v>105.43940571428574</v>
      </c>
      <c r="K41" s="125">
        <v>106.92307692307692</v>
      </c>
      <c r="L41" s="125">
        <v>108.8732642857143</v>
      </c>
      <c r="M41" s="125">
        <v>110.92307692307692</v>
      </c>
      <c r="N41" s="125">
        <v>110.57817142857145</v>
      </c>
      <c r="O41" s="125">
        <v>111</v>
      </c>
      <c r="P41" s="125">
        <v>111</v>
      </c>
      <c r="Q41" s="125">
        <v>111</v>
      </c>
      <c r="R41" s="125">
        <v>111.13888888888889</v>
      </c>
      <c r="S41" s="126">
        <v>111.97222222222223</v>
      </c>
      <c r="T41" s="1"/>
    </row>
    <row r="42" spans="2:20" hidden="1" x14ac:dyDescent="0.25">
      <c r="B42" s="1"/>
      <c r="C42" s="119">
        <f>J4</f>
        <v>30</v>
      </c>
      <c r="D42" s="124">
        <v>120.5227366666667</v>
      </c>
      <c r="E42" s="125">
        <v>122.92857142857143</v>
      </c>
      <c r="F42" s="125">
        <v>123.95833333333333</v>
      </c>
      <c r="G42" s="125">
        <v>124.79166666666667</v>
      </c>
      <c r="H42" s="125">
        <v>126.44230769230769</v>
      </c>
      <c r="I42" s="125">
        <v>127.88461538461539</v>
      </c>
      <c r="J42" s="125">
        <v>129.30842971428575</v>
      </c>
      <c r="K42" s="125">
        <v>130.92307692307693</v>
      </c>
      <c r="L42" s="125">
        <v>132.67577428571434</v>
      </c>
      <c r="M42" s="125">
        <v>133.96153846153845</v>
      </c>
      <c r="N42" s="125">
        <v>133.95309142857144</v>
      </c>
      <c r="O42" s="125">
        <v>134</v>
      </c>
      <c r="P42" s="125">
        <v>134</v>
      </c>
      <c r="Q42" s="125">
        <v>134</v>
      </c>
      <c r="R42" s="125">
        <v>134</v>
      </c>
      <c r="S42" s="126">
        <v>134</v>
      </c>
      <c r="T42" s="1"/>
    </row>
    <row r="43" spans="2:20" hidden="1" x14ac:dyDescent="0.25">
      <c r="B43" s="1"/>
      <c r="C43" s="119">
        <f>K4</f>
        <v>35</v>
      </c>
      <c r="D43" s="124">
        <v>128.47464095238098</v>
      </c>
      <c r="E43" s="125">
        <v>130.92857142857142</v>
      </c>
      <c r="F43" s="125">
        <v>131.95833333333334</v>
      </c>
      <c r="G43" s="125">
        <v>132.79166666666666</v>
      </c>
      <c r="H43" s="125">
        <v>133.96153846153845</v>
      </c>
      <c r="I43" s="125">
        <v>134.92307692307693</v>
      </c>
      <c r="J43" s="125">
        <v>136.71331657142861</v>
      </c>
      <c r="K43" s="125">
        <v>137.96153846153845</v>
      </c>
      <c r="L43" s="125">
        <v>139.61236142857143</v>
      </c>
      <c r="M43" s="125">
        <v>140.96153846153845</v>
      </c>
      <c r="N43" s="125">
        <v>140.06030285714286</v>
      </c>
      <c r="O43" s="125">
        <v>139.30555555555554</v>
      </c>
      <c r="P43" s="125">
        <v>139.02777777777777</v>
      </c>
      <c r="Q43" s="125">
        <v>139</v>
      </c>
      <c r="R43" s="125">
        <v>139</v>
      </c>
      <c r="S43" s="126">
        <v>139</v>
      </c>
      <c r="T43" s="1"/>
    </row>
    <row r="44" spans="2:20" hidden="1" x14ac:dyDescent="0.25">
      <c r="B44" s="1"/>
      <c r="C44" s="119">
        <f>L4</f>
        <v>40</v>
      </c>
      <c r="D44" s="124">
        <v>136.76329695238098</v>
      </c>
      <c r="E44" s="125">
        <v>138.92857142857142</v>
      </c>
      <c r="F44" s="125">
        <v>139.95833333333334</v>
      </c>
      <c r="G44" s="125">
        <v>141.58333333333334</v>
      </c>
      <c r="H44" s="125">
        <v>142.48076923076923</v>
      </c>
      <c r="I44" s="125">
        <v>142.96153846153845</v>
      </c>
      <c r="J44" s="125">
        <v>144.69602657142858</v>
      </c>
      <c r="K44" s="125">
        <v>145.96153846153845</v>
      </c>
      <c r="L44" s="125">
        <v>147.24730742857145</v>
      </c>
      <c r="M44" s="125">
        <v>147.96153846153845</v>
      </c>
      <c r="N44" s="125">
        <v>146.98640885714286</v>
      </c>
      <c r="O44" s="125">
        <v>145.61111111111111</v>
      </c>
      <c r="P44" s="125">
        <v>145.05555555555554</v>
      </c>
      <c r="Q44" s="125">
        <v>145</v>
      </c>
      <c r="R44" s="125">
        <v>144.86111111111111</v>
      </c>
      <c r="S44" s="126">
        <v>144.02777777777777</v>
      </c>
      <c r="T44" s="1"/>
    </row>
    <row r="45" spans="2:20" hidden="1" x14ac:dyDescent="0.25">
      <c r="B45" s="1"/>
      <c r="C45" s="119">
        <f>M4</f>
        <v>50</v>
      </c>
      <c r="D45" s="124">
        <v>142.56534095238098</v>
      </c>
      <c r="E45" s="125">
        <v>144.92857142857142</v>
      </c>
      <c r="F45" s="125">
        <v>145.95833333333334</v>
      </c>
      <c r="G45" s="125">
        <v>146.79166666666666</v>
      </c>
      <c r="H45" s="125">
        <v>147.96153846153845</v>
      </c>
      <c r="I45" s="125">
        <v>148.92307692307693</v>
      </c>
      <c r="J45" s="125">
        <v>149.88617857142859</v>
      </c>
      <c r="K45" s="125">
        <v>150.96153846153845</v>
      </c>
      <c r="L45" s="125">
        <v>151.74193142857146</v>
      </c>
      <c r="M45" s="125">
        <v>152.96153846153845</v>
      </c>
      <c r="N45" s="125">
        <v>150.06335285714286</v>
      </c>
      <c r="O45" s="125">
        <v>147.91666666666666</v>
      </c>
      <c r="P45" s="125">
        <v>147.08333333333334</v>
      </c>
      <c r="Q45" s="125">
        <v>146.35714285714286</v>
      </c>
      <c r="R45" s="125">
        <v>145.72222222222223</v>
      </c>
      <c r="S45" s="126">
        <v>144.05555555555554</v>
      </c>
      <c r="T45" s="1"/>
    </row>
    <row r="46" spans="2:20" hidden="1" x14ac:dyDescent="0.25">
      <c r="B46" s="1"/>
      <c r="C46" s="119">
        <f>N4</f>
        <v>60</v>
      </c>
      <c r="D46" s="124">
        <v>148.24449380952385</v>
      </c>
      <c r="E46" s="125">
        <v>149.92857142857142</v>
      </c>
      <c r="F46" s="125">
        <v>150.95833333333334</v>
      </c>
      <c r="G46" s="125">
        <v>152.58333333333334</v>
      </c>
      <c r="H46" s="125">
        <v>153.96153846153845</v>
      </c>
      <c r="I46" s="125">
        <v>154.92307692307693</v>
      </c>
      <c r="J46" s="125">
        <v>155.35522514285717</v>
      </c>
      <c r="K46" s="125">
        <v>155.96153846153845</v>
      </c>
      <c r="L46" s="125">
        <v>156.71634285714288</v>
      </c>
      <c r="M46" s="125">
        <v>157</v>
      </c>
      <c r="N46" s="125">
        <v>153.82097714285715</v>
      </c>
      <c r="O46" s="125">
        <v>151.22222222222223</v>
      </c>
      <c r="P46" s="125">
        <v>150.11111111111111</v>
      </c>
      <c r="Q46" s="125">
        <v>149.35714285714286</v>
      </c>
      <c r="R46" s="125">
        <v>148.44444444444446</v>
      </c>
      <c r="S46" s="126">
        <v>145.11111111111111</v>
      </c>
      <c r="T46" s="1"/>
    </row>
    <row r="47" spans="2:20" hidden="1" x14ac:dyDescent="0.25">
      <c r="B47" s="1"/>
      <c r="C47" s="119">
        <f>O4</f>
        <v>70</v>
      </c>
      <c r="D47" s="124">
        <v>154.7735063809524</v>
      </c>
      <c r="E47" s="125">
        <v>156.92857142857142</v>
      </c>
      <c r="F47" s="125">
        <v>157.95833333333334</v>
      </c>
      <c r="G47" s="125">
        <v>159.58333333333334</v>
      </c>
      <c r="H47" s="125">
        <v>160.48076923076923</v>
      </c>
      <c r="I47" s="125">
        <v>160.96153846153845</v>
      </c>
      <c r="J47" s="125">
        <v>161.91520285714287</v>
      </c>
      <c r="K47" s="125">
        <v>162.96153846153845</v>
      </c>
      <c r="L47" s="125">
        <v>162.90222114285717</v>
      </c>
      <c r="M47" s="125">
        <v>163</v>
      </c>
      <c r="N47" s="125">
        <v>158.91060400000003</v>
      </c>
      <c r="O47" s="125">
        <v>155.52777777777777</v>
      </c>
      <c r="P47" s="125">
        <v>154.13888888888889</v>
      </c>
      <c r="Q47" s="125">
        <v>152.71428571428572</v>
      </c>
      <c r="R47" s="125">
        <v>151.44444444444446</v>
      </c>
      <c r="S47" s="126">
        <v>148.11111111111111</v>
      </c>
      <c r="T47" s="1"/>
    </row>
    <row r="48" spans="2:20" hidden="1" x14ac:dyDescent="0.25">
      <c r="B48" s="1"/>
      <c r="C48" s="119">
        <f>P4</f>
        <v>75</v>
      </c>
      <c r="D48" s="124">
        <v>162.96600380952384</v>
      </c>
      <c r="E48" s="125">
        <v>164.92857142857142</v>
      </c>
      <c r="F48" s="125">
        <v>165.95833333333334</v>
      </c>
      <c r="G48" s="125">
        <v>167.58333333333334</v>
      </c>
      <c r="H48" s="125">
        <v>168.96153846153845</v>
      </c>
      <c r="I48" s="125">
        <v>169.92307692307693</v>
      </c>
      <c r="J48" s="125">
        <v>170.2838971428572</v>
      </c>
      <c r="K48" s="125">
        <v>170.96153846153845</v>
      </c>
      <c r="L48" s="125">
        <v>171.1642228571429</v>
      </c>
      <c r="M48" s="125">
        <v>171</v>
      </c>
      <c r="N48" s="125">
        <v>166.7048371428572</v>
      </c>
      <c r="O48" s="125">
        <v>162.83333333333334</v>
      </c>
      <c r="P48" s="125">
        <v>161.16666666666666</v>
      </c>
      <c r="Q48" s="125">
        <v>159.71428571428572</v>
      </c>
      <c r="R48" s="125">
        <v>158.44444444444446</v>
      </c>
      <c r="S48" s="126">
        <v>155.11111111111111</v>
      </c>
      <c r="T48" s="1"/>
    </row>
    <row r="49" spans="2:20" hidden="1" x14ac:dyDescent="0.25">
      <c r="B49" s="1"/>
      <c r="C49" s="119">
        <f>Q4</f>
        <v>80</v>
      </c>
      <c r="D49" s="124">
        <v>172.58291452380954</v>
      </c>
      <c r="E49" s="125">
        <v>174.92857142857142</v>
      </c>
      <c r="F49" s="125">
        <v>175.95833333333334</v>
      </c>
      <c r="G49" s="125">
        <v>177.58333333333334</v>
      </c>
      <c r="H49" s="125">
        <v>178.96153846153845</v>
      </c>
      <c r="I49" s="125">
        <v>179.92307692307693</v>
      </c>
      <c r="J49" s="125">
        <v>180.1171832857143</v>
      </c>
      <c r="K49" s="125">
        <v>180.96153846153845</v>
      </c>
      <c r="L49" s="125">
        <v>180.91090571428575</v>
      </c>
      <c r="M49" s="125">
        <v>181</v>
      </c>
      <c r="N49" s="125">
        <v>176.00384071428573</v>
      </c>
      <c r="O49" s="125">
        <v>171.83333333333334</v>
      </c>
      <c r="P49" s="125">
        <v>170.16666666666666</v>
      </c>
      <c r="Q49" s="125">
        <v>168.71428571428572</v>
      </c>
      <c r="R49" s="125">
        <v>167.30555555555554</v>
      </c>
      <c r="S49" s="126">
        <v>163.13888888888889</v>
      </c>
      <c r="T49" s="1"/>
    </row>
    <row r="50" spans="2:20" hidden="1" x14ac:dyDescent="0.25">
      <c r="B50" s="1"/>
      <c r="C50" s="119">
        <f>R4</f>
        <v>85</v>
      </c>
      <c r="D50" s="124">
        <v>177.8116746666667</v>
      </c>
      <c r="E50" s="125">
        <v>179.92857142857142</v>
      </c>
      <c r="F50" s="125">
        <v>180.95833333333334</v>
      </c>
      <c r="G50" s="125">
        <v>182.58333333333334</v>
      </c>
      <c r="H50" s="125">
        <v>183.96153846153845</v>
      </c>
      <c r="I50" s="125">
        <v>184.92307692307693</v>
      </c>
      <c r="J50" s="125">
        <v>185.48196171428575</v>
      </c>
      <c r="K50" s="125">
        <v>185.96153846153845</v>
      </c>
      <c r="L50" s="125">
        <v>186.14890228571431</v>
      </c>
      <c r="M50" s="125">
        <v>186</v>
      </c>
      <c r="N50" s="125">
        <v>180.75397942857145</v>
      </c>
      <c r="O50" s="125">
        <v>176.13888888888889</v>
      </c>
      <c r="P50" s="125">
        <v>174.19444444444446</v>
      </c>
      <c r="Q50" s="125">
        <v>172.71428571428572</v>
      </c>
      <c r="R50" s="125">
        <v>171.30555555555554</v>
      </c>
      <c r="S50" s="126">
        <v>167.13888888888889</v>
      </c>
      <c r="T50" s="1"/>
    </row>
    <row r="51" spans="2:20" ht="15.75" hidden="1" thickBot="1" x14ac:dyDescent="0.3">
      <c r="B51" s="1"/>
      <c r="C51" s="120">
        <f>S4</f>
        <v>99</v>
      </c>
      <c r="D51" s="127">
        <v>182.05266912380955</v>
      </c>
      <c r="E51" s="128">
        <v>184.85714285714286</v>
      </c>
      <c r="F51" s="128">
        <v>185.95833333333334</v>
      </c>
      <c r="G51" s="128">
        <v>187.58333333333334</v>
      </c>
      <c r="H51" s="128">
        <v>188.96153846153845</v>
      </c>
      <c r="I51" s="128">
        <v>189.92307692307693</v>
      </c>
      <c r="J51" s="128">
        <v>189.99934308571434</v>
      </c>
      <c r="K51" s="128">
        <v>190</v>
      </c>
      <c r="L51" s="128">
        <v>190.25906231428576</v>
      </c>
      <c r="M51" s="128">
        <v>190</v>
      </c>
      <c r="N51" s="128">
        <v>183.44590531428574</v>
      </c>
      <c r="O51" s="128">
        <v>177.44444444444446</v>
      </c>
      <c r="P51" s="128">
        <v>175.22222222222223</v>
      </c>
      <c r="Q51" s="128">
        <v>173.71428571428572</v>
      </c>
      <c r="R51" s="128">
        <v>172.02777777777777</v>
      </c>
      <c r="S51" s="129">
        <v>166.19444444444446</v>
      </c>
      <c r="T51" s="1"/>
    </row>
    <row r="52" spans="2:20" ht="15.75" hidden="1" thickTop="1" x14ac:dyDescent="0.25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</row>
  </sheetData>
  <sheetProtection algorithmName="SHA-512" hashValue="7d5hjsCDj/lykQbgRqgw6DvoBqmrltIq1Gt2H11//vswsAr4JxyBcRW1CuZrLSWSMehztCn4JyjAKYp+BvK4GQ==" saltValue="oe4WQo+l3uCD/fIw/8M8KQ==" spinCount="100000" sheet="1" objects="1" scenarios="1"/>
  <mergeCells count="7">
    <mergeCell ref="B34:T34"/>
    <mergeCell ref="B28:T28"/>
    <mergeCell ref="B3:T3"/>
    <mergeCell ref="W13:AA14"/>
    <mergeCell ref="W5:AA12"/>
    <mergeCell ref="Y16:Z16"/>
    <mergeCell ref="B23:T23"/>
  </mergeCells>
  <conditionalFormatting sqref="T5:T20">
    <cfRule type="colorScale" priority="5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36:S51 D25:S25 D30:S30">
    <cfRule type="colorScale" priority="3">
      <colorScale>
        <cfvo type="num" val="0"/>
        <cfvo type="formula" val="MAX($D$5:$O$20)/2"/>
        <cfvo type="formula" val="MAX($D$5:$O$20)"/>
        <color rgb="FF9BBB59"/>
        <color rgb="FFFDE9D9"/>
        <color rgb="FFF9B277"/>
      </colorScale>
    </cfRule>
  </conditionalFormatting>
  <dataValidations disablePrompts="1" count="4">
    <dataValidation type="whole" showInputMessage="1" showErrorMessage="1" sqref="E4:R4" xr:uid="{00000000-0002-0000-0B00-000000000000}">
      <formula1>1</formula1>
      <formula2>98</formula2>
    </dataValidation>
    <dataValidation type="whole" showInputMessage="1" showErrorMessage="1" sqref="C5:C20" xr:uid="{00000000-0002-0000-0B00-000001000000}">
      <formula1>0</formula1>
      <formula2>8000</formula2>
    </dataValidation>
    <dataValidation showInputMessage="1" showErrorMessage="1" sqref="D4 S4" xr:uid="{00000000-0002-0000-0B00-000002000000}"/>
    <dataValidation type="decimal" showInputMessage="1" showErrorMessage="1" sqref="D24:S24" xr:uid="{00000000-0002-0000-0B00-000003000000}">
      <formula1>0</formula1>
      <formula2>8000</formula2>
    </dataValidation>
  </dataValidations>
  <hyperlinks>
    <hyperlink ref="W13" r:id="rId1" xr:uid="{00000000-0004-0000-0B00-000000000000}"/>
  </hyperlinks>
  <pageMargins left="0.7" right="0.7" top="0.75" bottom="0.75" header="0.3" footer="0.3"/>
  <pageSetup paperSize="9"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B2:AL49"/>
  <sheetViews>
    <sheetView showRowColHeaders="0" workbookViewId="0">
      <selection activeCell="S16" sqref="S16"/>
    </sheetView>
  </sheetViews>
  <sheetFormatPr defaultRowHeight="15" x14ac:dyDescent="0.25"/>
  <cols>
    <col min="1" max="1" width="9.140625" style="2"/>
    <col min="2" max="2" width="10.7109375" style="2" customWidth="1"/>
    <col min="3" max="18" width="4.7109375" style="2" customWidth="1"/>
    <col min="19" max="19" width="10.7109375" style="2" customWidth="1"/>
    <col min="20" max="20" width="4.28515625" style="2" customWidth="1"/>
    <col min="21" max="21" width="10.7109375" style="156" customWidth="1"/>
    <col min="22" max="37" width="4.7109375" style="2" customWidth="1"/>
    <col min="38" max="38" width="10.7109375" style="2" customWidth="1"/>
    <col min="39" max="16384" width="9.140625" style="2"/>
  </cols>
  <sheetData>
    <row r="2" spans="2:38" x14ac:dyDescent="0.25"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U2" s="257"/>
      <c r="V2" s="258"/>
      <c r="W2" s="258"/>
      <c r="X2" s="258"/>
      <c r="Y2" s="258"/>
      <c r="Z2" s="258"/>
      <c r="AA2" s="258"/>
      <c r="AB2" s="258"/>
      <c r="AC2" s="258"/>
      <c r="AD2" s="258"/>
      <c r="AE2" s="258"/>
      <c r="AF2" s="258"/>
      <c r="AG2" s="258"/>
      <c r="AH2" s="258"/>
      <c r="AI2" s="258"/>
      <c r="AJ2" s="258"/>
      <c r="AK2" s="258"/>
      <c r="AL2" s="258"/>
    </row>
    <row r="3" spans="2:38" x14ac:dyDescent="0.25">
      <c r="B3" s="48"/>
      <c r="C3" s="299" t="s">
        <v>1275</v>
      </c>
      <c r="D3" s="300"/>
      <c r="E3" s="300"/>
      <c r="F3" s="301"/>
      <c r="G3" s="301"/>
      <c r="H3" s="301"/>
      <c r="I3" s="301"/>
      <c r="J3" s="301"/>
      <c r="K3" s="301"/>
      <c r="L3" s="301"/>
      <c r="M3" s="301"/>
      <c r="N3" s="301"/>
      <c r="O3" s="301"/>
      <c r="P3" s="301"/>
      <c r="Q3" s="301"/>
      <c r="R3" s="301"/>
      <c r="S3" s="22"/>
      <c r="U3" s="259" t="s">
        <v>1245</v>
      </c>
      <c r="V3" s="388" t="s">
        <v>1236</v>
      </c>
      <c r="W3" s="388"/>
      <c r="X3" s="388"/>
      <c r="Y3" s="389" t="s">
        <v>1237</v>
      </c>
      <c r="Z3" s="389"/>
      <c r="AA3" s="389"/>
      <c r="AB3" s="389" t="s">
        <v>1238</v>
      </c>
      <c r="AC3" s="389"/>
      <c r="AD3" s="389"/>
      <c r="AE3" s="258"/>
      <c r="AF3" s="390" t="s">
        <v>1246</v>
      </c>
      <c r="AG3" s="390"/>
      <c r="AH3" s="390"/>
      <c r="AI3" s="388" t="s">
        <v>1236</v>
      </c>
      <c r="AJ3" s="388"/>
      <c r="AK3" s="388"/>
      <c r="AL3" s="260" t="s">
        <v>1248</v>
      </c>
    </row>
    <row r="4" spans="2:38" x14ac:dyDescent="0.25">
      <c r="B4" s="48"/>
      <c r="C4" s="302"/>
      <c r="D4" s="301"/>
      <c r="E4" s="301"/>
      <c r="F4" s="301"/>
      <c r="G4" s="301"/>
      <c r="H4" s="301"/>
      <c r="I4" s="301"/>
      <c r="J4" s="301"/>
      <c r="K4" s="301"/>
      <c r="L4" s="301"/>
      <c r="M4" s="301"/>
      <c r="N4" s="301"/>
      <c r="O4" s="301"/>
      <c r="P4" s="301"/>
      <c r="Q4" s="301"/>
      <c r="R4" s="301"/>
      <c r="S4" s="22"/>
      <c r="U4" s="261" t="s">
        <v>1225</v>
      </c>
      <c r="V4" s="384" t="s">
        <v>1231</v>
      </c>
      <c r="W4" s="385"/>
      <c r="X4" s="386"/>
      <c r="Y4" s="258"/>
      <c r="Z4" s="258"/>
      <c r="AA4" s="258"/>
      <c r="AB4" s="258"/>
      <c r="AC4" s="258"/>
      <c r="AD4" s="258"/>
      <c r="AE4" s="382" t="s">
        <v>1240</v>
      </c>
      <c r="AF4" s="382"/>
      <c r="AG4" s="382"/>
      <c r="AH4" s="383"/>
      <c r="AI4" s="384" t="s">
        <v>1256</v>
      </c>
      <c r="AJ4" s="385"/>
      <c r="AK4" s="386"/>
      <c r="AL4" s="262" t="s">
        <v>1249</v>
      </c>
    </row>
    <row r="5" spans="2:38" x14ac:dyDescent="0.25">
      <c r="B5" s="48"/>
      <c r="C5" s="302"/>
      <c r="D5" s="301"/>
      <c r="E5" s="301"/>
      <c r="F5" s="301"/>
      <c r="G5" s="301"/>
      <c r="H5" s="301"/>
      <c r="I5" s="301"/>
      <c r="J5" s="301"/>
      <c r="K5" s="301"/>
      <c r="L5" s="301"/>
      <c r="M5" s="301"/>
      <c r="N5" s="301"/>
      <c r="O5" s="301"/>
      <c r="P5" s="301"/>
      <c r="Q5" s="301"/>
      <c r="R5" s="301"/>
      <c r="S5" s="22"/>
      <c r="U5" s="261" t="s">
        <v>1226</v>
      </c>
      <c r="V5" s="384" t="s">
        <v>1232</v>
      </c>
      <c r="W5" s="385"/>
      <c r="X5" s="386"/>
      <c r="Y5" s="384" t="s">
        <v>1270</v>
      </c>
      <c r="Z5" s="385"/>
      <c r="AA5" s="386"/>
      <c r="AB5" s="393">
        <v>9</v>
      </c>
      <c r="AC5" s="394"/>
      <c r="AD5" s="395"/>
      <c r="AE5" s="382" t="s">
        <v>1241</v>
      </c>
      <c r="AF5" s="382"/>
      <c r="AG5" s="382"/>
      <c r="AH5" s="383"/>
      <c r="AI5" s="384" t="s">
        <v>1257</v>
      </c>
      <c r="AJ5" s="385"/>
      <c r="AK5" s="386"/>
      <c r="AL5" s="262" t="s">
        <v>1249</v>
      </c>
    </row>
    <row r="6" spans="2:38" x14ac:dyDescent="0.25">
      <c r="B6" s="48"/>
      <c r="C6" s="302"/>
      <c r="D6" s="301"/>
      <c r="E6" s="301"/>
      <c r="F6" s="301"/>
      <c r="G6" s="301"/>
      <c r="H6" s="301"/>
      <c r="I6" s="301"/>
      <c r="J6" s="301"/>
      <c r="K6" s="301"/>
      <c r="L6" s="301"/>
      <c r="M6" s="301"/>
      <c r="N6" s="301"/>
      <c r="O6" s="301"/>
      <c r="P6" s="301"/>
      <c r="Q6" s="301"/>
      <c r="R6" s="301"/>
      <c r="S6" s="22"/>
      <c r="U6" s="261" t="s">
        <v>1227</v>
      </c>
      <c r="V6" s="384" t="s">
        <v>1233</v>
      </c>
      <c r="W6" s="385"/>
      <c r="X6" s="386"/>
      <c r="Y6" s="258"/>
      <c r="Z6" s="258"/>
      <c r="AA6" s="258"/>
      <c r="AB6" s="258"/>
      <c r="AC6" s="258"/>
      <c r="AD6" s="258"/>
      <c r="AE6" s="382" t="s">
        <v>1242</v>
      </c>
      <c r="AF6" s="382"/>
      <c r="AG6" s="382"/>
      <c r="AH6" s="383"/>
      <c r="AI6" s="384" t="s">
        <v>1258</v>
      </c>
      <c r="AJ6" s="385"/>
      <c r="AK6" s="386"/>
      <c r="AL6" s="262" t="s">
        <v>1249</v>
      </c>
    </row>
    <row r="7" spans="2:38" x14ac:dyDescent="0.25">
      <c r="B7" s="48"/>
      <c r="C7" s="302"/>
      <c r="D7" s="301"/>
      <c r="E7" s="301"/>
      <c r="F7" s="301"/>
      <c r="G7" s="301"/>
      <c r="H7" s="301"/>
      <c r="I7" s="301"/>
      <c r="J7" s="301"/>
      <c r="K7" s="301"/>
      <c r="L7" s="301"/>
      <c r="M7" s="301"/>
      <c r="N7" s="301"/>
      <c r="O7" s="301"/>
      <c r="P7" s="301"/>
      <c r="Q7" s="301"/>
      <c r="R7" s="301"/>
      <c r="S7" s="22"/>
      <c r="U7" s="261" t="s">
        <v>1228</v>
      </c>
      <c r="V7" s="384" t="s">
        <v>1234</v>
      </c>
      <c r="W7" s="385"/>
      <c r="X7" s="386"/>
      <c r="Y7" s="258"/>
      <c r="Z7" s="258"/>
      <c r="AA7" s="258"/>
      <c r="AB7" s="258"/>
      <c r="AC7" s="258"/>
      <c r="AD7" s="258"/>
      <c r="AE7" s="382" t="s">
        <v>1243</v>
      </c>
      <c r="AF7" s="382"/>
      <c r="AG7" s="382"/>
      <c r="AH7" s="383"/>
      <c r="AI7" s="384" t="s">
        <v>1259</v>
      </c>
      <c r="AJ7" s="385"/>
      <c r="AK7" s="386"/>
      <c r="AL7" s="262" t="s">
        <v>1249</v>
      </c>
    </row>
    <row r="8" spans="2:38" x14ac:dyDescent="0.25">
      <c r="B8" s="58"/>
      <c r="C8" s="302"/>
      <c r="D8" s="301"/>
      <c r="E8" s="301"/>
      <c r="F8" s="301"/>
      <c r="G8" s="301"/>
      <c r="H8" s="301"/>
      <c r="I8" s="301"/>
      <c r="J8" s="301"/>
      <c r="K8" s="301"/>
      <c r="L8" s="301"/>
      <c r="M8" s="301"/>
      <c r="N8" s="301"/>
      <c r="O8" s="301"/>
      <c r="P8" s="301"/>
      <c r="Q8" s="301"/>
      <c r="R8" s="301"/>
      <c r="S8" s="1"/>
      <c r="U8" s="261" t="s">
        <v>1229</v>
      </c>
      <c r="V8" s="384" t="s">
        <v>1235</v>
      </c>
      <c r="W8" s="385"/>
      <c r="X8" s="386"/>
      <c r="Y8" s="258"/>
      <c r="Z8" s="258"/>
      <c r="AA8" s="258"/>
      <c r="AB8" s="258"/>
      <c r="AC8" s="258"/>
      <c r="AD8" s="258"/>
      <c r="AE8" s="382" t="s">
        <v>1244</v>
      </c>
      <c r="AF8" s="382"/>
      <c r="AG8" s="382"/>
      <c r="AH8" s="383"/>
      <c r="AI8" s="384" t="s">
        <v>1260</v>
      </c>
      <c r="AJ8" s="385"/>
      <c r="AK8" s="386"/>
      <c r="AL8" s="262" t="s">
        <v>1250</v>
      </c>
    </row>
    <row r="9" spans="2:38" x14ac:dyDescent="0.25">
      <c r="B9" s="58"/>
      <c r="C9" s="302"/>
      <c r="D9" s="301"/>
      <c r="E9" s="301"/>
      <c r="F9" s="301"/>
      <c r="G9" s="301"/>
      <c r="H9" s="301"/>
      <c r="I9" s="301"/>
      <c r="J9" s="301"/>
      <c r="K9" s="301"/>
      <c r="L9" s="301"/>
      <c r="M9" s="301"/>
      <c r="N9" s="301"/>
      <c r="O9" s="301"/>
      <c r="P9" s="301"/>
      <c r="Q9" s="301"/>
      <c r="R9" s="301"/>
      <c r="S9" s="1"/>
      <c r="U9" s="261" t="s">
        <v>1230</v>
      </c>
      <c r="V9" s="387" t="s">
        <v>1232</v>
      </c>
      <c r="W9" s="387"/>
      <c r="X9" s="387"/>
      <c r="Y9" s="384" t="s">
        <v>1273</v>
      </c>
      <c r="Z9" s="385"/>
      <c r="AA9" s="386"/>
      <c r="AB9" s="396">
        <v>12</v>
      </c>
      <c r="AC9" s="397"/>
      <c r="AD9" s="398"/>
      <c r="AE9" s="382" t="s">
        <v>1239</v>
      </c>
      <c r="AF9" s="382"/>
      <c r="AG9" s="382"/>
      <c r="AH9" s="383"/>
      <c r="AI9" s="384" t="s">
        <v>1261</v>
      </c>
      <c r="AJ9" s="385"/>
      <c r="AK9" s="386"/>
      <c r="AL9" s="262"/>
    </row>
    <row r="10" spans="2:38" x14ac:dyDescent="0.25">
      <c r="B10" s="1"/>
      <c r="C10" s="302"/>
      <c r="D10" s="301"/>
      <c r="E10" s="301"/>
      <c r="F10" s="301"/>
      <c r="G10" s="301"/>
      <c r="H10" s="301"/>
      <c r="I10" s="301"/>
      <c r="J10" s="301"/>
      <c r="K10" s="301"/>
      <c r="L10" s="301"/>
      <c r="M10" s="301"/>
      <c r="N10" s="301"/>
      <c r="O10" s="301"/>
      <c r="P10" s="301"/>
      <c r="Q10" s="301"/>
      <c r="R10" s="301"/>
      <c r="S10" s="1"/>
      <c r="U10" s="261" t="s">
        <v>1247</v>
      </c>
      <c r="V10" s="384" t="s">
        <v>1269</v>
      </c>
      <c r="W10" s="385"/>
      <c r="X10" s="386"/>
      <c r="Y10" s="399"/>
      <c r="Z10" s="400"/>
      <c r="AA10" s="400"/>
      <c r="AB10" s="263"/>
      <c r="AC10" s="258"/>
      <c r="AD10" s="258"/>
      <c r="AE10" s="382" t="s">
        <v>1254</v>
      </c>
      <c r="AF10" s="382"/>
      <c r="AG10" s="382"/>
      <c r="AH10" s="383"/>
      <c r="AI10" s="384" t="s">
        <v>1262</v>
      </c>
      <c r="AJ10" s="385"/>
      <c r="AK10" s="386"/>
      <c r="AL10" s="258"/>
    </row>
    <row r="11" spans="2:38" x14ac:dyDescent="0.25">
      <c r="B11" s="48"/>
      <c r="C11" s="303" t="s">
        <v>0</v>
      </c>
      <c r="D11" s="301"/>
      <c r="E11" s="301"/>
      <c r="F11" s="301"/>
      <c r="G11" s="301"/>
      <c r="H11" s="301"/>
      <c r="I11" s="301"/>
      <c r="J11" s="301"/>
      <c r="K11" s="301"/>
      <c r="L11" s="301"/>
      <c r="M11" s="301"/>
      <c r="N11" s="301"/>
      <c r="O11" s="301"/>
      <c r="P11" s="301"/>
      <c r="Q11" s="301"/>
      <c r="R11" s="301"/>
      <c r="S11" s="1"/>
      <c r="U11" s="257"/>
      <c r="V11" s="258"/>
      <c r="W11" s="258"/>
      <c r="X11" s="258"/>
      <c r="Y11" s="258"/>
      <c r="Z11" s="258"/>
      <c r="AA11" s="258"/>
      <c r="AB11" s="258"/>
      <c r="AC11" s="258"/>
      <c r="AD11" s="258"/>
      <c r="AE11" s="258"/>
      <c r="AF11" s="258"/>
      <c r="AG11" s="258"/>
      <c r="AH11" s="258"/>
      <c r="AI11" s="258"/>
      <c r="AJ11" s="258"/>
      <c r="AK11" s="258"/>
      <c r="AL11" s="258"/>
    </row>
    <row r="12" spans="2:38" x14ac:dyDescent="0.25">
      <c r="B12" s="48"/>
      <c r="C12" s="302"/>
      <c r="D12" s="300"/>
      <c r="E12" s="300"/>
      <c r="F12" s="301"/>
      <c r="G12" s="301"/>
      <c r="H12" s="301"/>
      <c r="I12" s="301"/>
      <c r="J12" s="301"/>
      <c r="K12" s="301"/>
      <c r="L12" s="301"/>
      <c r="M12" s="301"/>
      <c r="N12" s="301"/>
      <c r="O12" s="301"/>
      <c r="P12" s="301"/>
      <c r="Q12" s="301"/>
      <c r="R12" s="301"/>
      <c r="S12" s="22"/>
      <c r="U12" s="257"/>
      <c r="V12" s="381" t="s">
        <v>1251</v>
      </c>
      <c r="W12" s="381"/>
      <c r="X12" s="381"/>
      <c r="Y12" s="381"/>
      <c r="Z12" s="381"/>
      <c r="AA12" s="381"/>
      <c r="AB12" s="381"/>
      <c r="AC12" s="381"/>
      <c r="AD12" s="381" t="s">
        <v>1252</v>
      </c>
      <c r="AE12" s="381"/>
      <c r="AF12" s="381"/>
      <c r="AG12" s="381"/>
      <c r="AH12" s="381"/>
      <c r="AI12" s="381"/>
      <c r="AJ12" s="381"/>
      <c r="AK12" s="381"/>
      <c r="AL12" s="381"/>
    </row>
    <row r="13" spans="2:38" x14ac:dyDescent="0.25"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U13" s="257"/>
      <c r="V13" s="264" t="s">
        <v>1223</v>
      </c>
      <c r="W13" s="264" t="s">
        <v>1209</v>
      </c>
      <c r="X13" s="264" t="s">
        <v>1272</v>
      </c>
      <c r="Y13" s="264">
        <v>89</v>
      </c>
      <c r="Z13" s="258"/>
      <c r="AA13" s="258"/>
      <c r="AB13" s="258"/>
      <c r="AC13" s="258"/>
      <c r="AD13" s="265" t="s">
        <v>1255</v>
      </c>
      <c r="AE13" s="265" t="s">
        <v>1215</v>
      </c>
      <c r="AF13" s="265" t="s">
        <v>1216</v>
      </c>
      <c r="AG13" s="265" t="s">
        <v>1268</v>
      </c>
      <c r="AH13" s="258"/>
      <c r="AI13" s="258"/>
      <c r="AJ13" s="258"/>
      <c r="AK13" s="258"/>
      <c r="AL13" s="258"/>
    </row>
    <row r="14" spans="2:38" x14ac:dyDescent="0.25">
      <c r="B14" s="22"/>
      <c r="C14" s="296"/>
      <c r="D14" s="297"/>
      <c r="E14" s="297"/>
      <c r="F14" s="297"/>
      <c r="G14" s="298"/>
      <c r="H14" s="1"/>
      <c r="I14" s="198" t="s">
        <v>2</v>
      </c>
      <c r="J14" s="1"/>
      <c r="K14" s="199" t="s">
        <v>1</v>
      </c>
      <c r="L14" s="1"/>
      <c r="M14" s="1"/>
      <c r="N14" s="1"/>
      <c r="O14" s="1"/>
      <c r="P14" s="1"/>
      <c r="Q14" s="1"/>
      <c r="R14" s="1"/>
      <c r="S14" s="256"/>
      <c r="U14" s="257"/>
      <c r="V14" s="258"/>
      <c r="W14" s="258"/>
      <c r="X14" s="258"/>
      <c r="Y14" s="258"/>
      <c r="Z14" s="258"/>
      <c r="AA14" s="258"/>
      <c r="AB14" s="258"/>
      <c r="AC14" s="258"/>
      <c r="AD14" s="258"/>
      <c r="AE14" s="258"/>
      <c r="AF14" s="258"/>
      <c r="AG14" s="258"/>
      <c r="AH14" s="258"/>
      <c r="AI14" s="258"/>
      <c r="AJ14" s="258"/>
      <c r="AK14" s="258"/>
      <c r="AL14" s="258"/>
    </row>
    <row r="15" spans="2:38" x14ac:dyDescent="0.25">
      <c r="B15" s="22"/>
      <c r="C15" s="22"/>
      <c r="D15" s="22"/>
      <c r="E15" s="22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U15" s="257"/>
      <c r="V15" s="258"/>
      <c r="W15" s="258"/>
      <c r="X15" s="258"/>
      <c r="Y15" s="258"/>
      <c r="Z15" s="258"/>
      <c r="AA15" s="258"/>
      <c r="AB15" s="258"/>
      <c r="AC15" s="258"/>
      <c r="AD15" s="258"/>
      <c r="AE15" s="258"/>
      <c r="AF15" s="258"/>
      <c r="AG15" s="258"/>
      <c r="AH15" s="258"/>
      <c r="AI15" s="258"/>
      <c r="AJ15" s="258"/>
      <c r="AK15" s="258"/>
      <c r="AL15" s="258"/>
    </row>
    <row r="16" spans="2:38" x14ac:dyDescent="0.25">
      <c r="U16" s="266"/>
      <c r="V16" s="267"/>
      <c r="W16" s="267"/>
      <c r="X16" s="267"/>
      <c r="Y16" s="267"/>
      <c r="Z16" s="267"/>
      <c r="AA16" s="267"/>
      <c r="AB16" s="267"/>
      <c r="AC16" s="267"/>
      <c r="AD16" s="267"/>
      <c r="AE16" s="267"/>
      <c r="AF16" s="267"/>
      <c r="AG16" s="267"/>
      <c r="AH16" s="267"/>
      <c r="AI16" s="267"/>
      <c r="AJ16" s="267"/>
      <c r="AK16" s="267"/>
      <c r="AL16" s="267"/>
    </row>
    <row r="17" spans="2:38" ht="30" customHeight="1" thickBot="1" x14ac:dyDescent="0.3">
      <c r="B17" s="1"/>
      <c r="C17" s="306" t="s">
        <v>1177</v>
      </c>
      <c r="D17" s="307"/>
      <c r="E17" s="307"/>
      <c r="F17" s="307"/>
      <c r="G17" s="307"/>
      <c r="H17" s="307"/>
      <c r="I17" s="307"/>
      <c r="J17" s="307"/>
      <c r="K17" s="307"/>
      <c r="L17" s="307"/>
      <c r="M17" s="307"/>
      <c r="N17" s="307"/>
      <c r="O17" s="307"/>
      <c r="P17" s="307"/>
      <c r="Q17" s="307"/>
      <c r="R17" s="307"/>
      <c r="S17" s="211"/>
      <c r="T17" s="210"/>
      <c r="U17" s="257"/>
      <c r="V17" s="391" t="s">
        <v>1178</v>
      </c>
      <c r="W17" s="392"/>
      <c r="X17" s="392"/>
      <c r="Y17" s="392"/>
      <c r="Z17" s="392"/>
      <c r="AA17" s="392"/>
      <c r="AB17" s="392"/>
      <c r="AC17" s="392"/>
      <c r="AD17" s="392"/>
      <c r="AE17" s="392"/>
      <c r="AF17" s="392"/>
      <c r="AG17" s="392"/>
      <c r="AH17" s="392"/>
      <c r="AI17" s="392"/>
      <c r="AJ17" s="392"/>
      <c r="AK17" s="392"/>
      <c r="AL17" s="268"/>
    </row>
    <row r="18" spans="2:38" ht="12.75" customHeight="1" thickTop="1" thickBot="1" x14ac:dyDescent="0.3">
      <c r="B18" s="200"/>
      <c r="C18" s="254" t="s">
        <v>1195</v>
      </c>
      <c r="D18" s="254" t="s">
        <v>1179</v>
      </c>
      <c r="E18" s="254" t="s">
        <v>1180</v>
      </c>
      <c r="F18" s="254" t="s">
        <v>1181</v>
      </c>
      <c r="G18" s="254" t="s">
        <v>985</v>
      </c>
      <c r="H18" s="254" t="s">
        <v>1182</v>
      </c>
      <c r="I18" s="254" t="s">
        <v>1183</v>
      </c>
      <c r="J18" s="254" t="s">
        <v>1184</v>
      </c>
      <c r="K18" s="254" t="s">
        <v>986</v>
      </c>
      <c r="L18" s="254" t="s">
        <v>1185</v>
      </c>
      <c r="M18" s="254" t="s">
        <v>1189</v>
      </c>
      <c r="N18" s="254" t="s">
        <v>1190</v>
      </c>
      <c r="O18" s="254" t="s">
        <v>1191</v>
      </c>
      <c r="P18" s="254" t="s">
        <v>1192</v>
      </c>
      <c r="Q18" s="254" t="s">
        <v>1193</v>
      </c>
      <c r="R18" s="254" t="s">
        <v>1194</v>
      </c>
      <c r="S18" s="1"/>
      <c r="U18" s="200"/>
      <c r="V18" s="254" t="s">
        <v>1195</v>
      </c>
      <c r="W18" s="254" t="s">
        <v>1179</v>
      </c>
      <c r="X18" s="254" t="s">
        <v>1180</v>
      </c>
      <c r="Y18" s="254" t="s">
        <v>1181</v>
      </c>
      <c r="Z18" s="254" t="s">
        <v>985</v>
      </c>
      <c r="AA18" s="254" t="s">
        <v>1182</v>
      </c>
      <c r="AB18" s="254" t="s">
        <v>1183</v>
      </c>
      <c r="AC18" s="254" t="s">
        <v>1184</v>
      </c>
      <c r="AD18" s="254" t="s">
        <v>986</v>
      </c>
      <c r="AE18" s="254" t="s">
        <v>1185</v>
      </c>
      <c r="AF18" s="254" t="s">
        <v>1189</v>
      </c>
      <c r="AG18" s="254" t="s">
        <v>1190</v>
      </c>
      <c r="AH18" s="254" t="s">
        <v>1191</v>
      </c>
      <c r="AI18" s="254" t="s">
        <v>1192</v>
      </c>
      <c r="AJ18" s="254" t="s">
        <v>1193</v>
      </c>
      <c r="AK18" s="254" t="s">
        <v>1194</v>
      </c>
      <c r="AL18" s="258"/>
    </row>
    <row r="19" spans="2:38" ht="15" customHeight="1" x14ac:dyDescent="0.25">
      <c r="B19" s="254" t="s">
        <v>1179</v>
      </c>
      <c r="C19" s="246" t="s">
        <v>1196</v>
      </c>
      <c r="D19" s="247" t="s">
        <v>1197</v>
      </c>
      <c r="E19" s="247" t="s">
        <v>1188</v>
      </c>
      <c r="F19" s="247" t="s">
        <v>1064</v>
      </c>
      <c r="G19" s="247" t="s">
        <v>1198</v>
      </c>
      <c r="H19" s="247" t="s">
        <v>1199</v>
      </c>
      <c r="I19" s="247" t="s">
        <v>1078</v>
      </c>
      <c r="J19" s="247" t="s">
        <v>1200</v>
      </c>
      <c r="K19" s="247" t="s">
        <v>1201</v>
      </c>
      <c r="L19" s="247" t="s">
        <v>1058</v>
      </c>
      <c r="M19" s="247" t="s">
        <v>1202</v>
      </c>
      <c r="N19" s="247" t="s">
        <v>1058</v>
      </c>
      <c r="O19" s="247" t="s">
        <v>1198</v>
      </c>
      <c r="P19" s="247" t="s">
        <v>1203</v>
      </c>
      <c r="Q19" s="247" t="s">
        <v>1058</v>
      </c>
      <c r="R19" s="248" t="s">
        <v>1204</v>
      </c>
      <c r="S19" s="1"/>
      <c r="U19" s="254" t="s">
        <v>1179</v>
      </c>
      <c r="V19" s="246" t="s">
        <v>1196</v>
      </c>
      <c r="W19" s="247" t="s">
        <v>1095</v>
      </c>
      <c r="X19" s="247" t="s">
        <v>1188</v>
      </c>
      <c r="Y19" s="247" t="s">
        <v>1271</v>
      </c>
      <c r="Z19" s="247" t="s">
        <v>1198</v>
      </c>
      <c r="AA19" s="247" t="s">
        <v>1199</v>
      </c>
      <c r="AB19" s="247" t="s">
        <v>1267</v>
      </c>
      <c r="AC19" s="247" t="s">
        <v>1253</v>
      </c>
      <c r="AD19" s="247" t="s">
        <v>1201</v>
      </c>
      <c r="AE19" s="247" t="s">
        <v>1058</v>
      </c>
      <c r="AF19" s="247" t="s">
        <v>1202</v>
      </c>
      <c r="AG19" s="247" t="s">
        <v>1058</v>
      </c>
      <c r="AH19" s="247" t="s">
        <v>1198</v>
      </c>
      <c r="AI19" s="247" t="s">
        <v>1203</v>
      </c>
      <c r="AJ19" s="247" t="s">
        <v>1058</v>
      </c>
      <c r="AK19" s="248" t="s">
        <v>1264</v>
      </c>
      <c r="AL19" s="258"/>
    </row>
    <row r="20" spans="2:38" ht="15" customHeight="1" x14ac:dyDescent="0.25">
      <c r="B20" s="254" t="s">
        <v>1180</v>
      </c>
      <c r="C20" s="249" t="s">
        <v>1078</v>
      </c>
      <c r="D20" s="205" t="s">
        <v>1205</v>
      </c>
      <c r="E20" s="205" t="s">
        <v>1206</v>
      </c>
      <c r="F20" s="205" t="s">
        <v>1207</v>
      </c>
      <c r="G20" s="205" t="s">
        <v>1198</v>
      </c>
      <c r="H20" s="205" t="s">
        <v>1199</v>
      </c>
      <c r="I20" s="205" t="s">
        <v>1208</v>
      </c>
      <c r="J20" s="205" t="s">
        <v>1209</v>
      </c>
      <c r="K20" s="205" t="s">
        <v>1201</v>
      </c>
      <c r="L20" s="205" t="s">
        <v>1058</v>
      </c>
      <c r="M20" s="205" t="s">
        <v>1202</v>
      </c>
      <c r="N20" s="205" t="s">
        <v>1058</v>
      </c>
      <c r="O20" s="205" t="s">
        <v>1198</v>
      </c>
      <c r="P20" s="205" t="s">
        <v>1203</v>
      </c>
      <c r="Q20" s="205" t="s">
        <v>1057</v>
      </c>
      <c r="R20" s="250" t="s">
        <v>1204</v>
      </c>
      <c r="S20" s="1"/>
      <c r="U20" s="254" t="s">
        <v>1180</v>
      </c>
      <c r="V20" s="249" t="s">
        <v>1078</v>
      </c>
      <c r="W20" s="205" t="s">
        <v>1205</v>
      </c>
      <c r="X20" s="205" t="s">
        <v>1206</v>
      </c>
      <c r="Y20" s="205" t="s">
        <v>1207</v>
      </c>
      <c r="Z20" s="205" t="s">
        <v>1198</v>
      </c>
      <c r="AA20" s="205" t="s">
        <v>1199</v>
      </c>
      <c r="AB20" s="205" t="s">
        <v>1265</v>
      </c>
      <c r="AC20" s="205" t="s">
        <v>1209</v>
      </c>
      <c r="AD20" s="205" t="s">
        <v>1201</v>
      </c>
      <c r="AE20" s="205" t="s">
        <v>1058</v>
      </c>
      <c r="AF20" s="205" t="s">
        <v>1202</v>
      </c>
      <c r="AG20" s="205" t="s">
        <v>1058</v>
      </c>
      <c r="AH20" s="205" t="s">
        <v>1198</v>
      </c>
      <c r="AI20" s="205" t="s">
        <v>1203</v>
      </c>
      <c r="AJ20" s="205" t="s">
        <v>1057</v>
      </c>
      <c r="AK20" s="250" t="s">
        <v>1264</v>
      </c>
      <c r="AL20" s="258"/>
    </row>
    <row r="21" spans="2:38" ht="15" customHeight="1" x14ac:dyDescent="0.25">
      <c r="B21" s="254" t="s">
        <v>1181</v>
      </c>
      <c r="C21" s="249" t="s">
        <v>1078</v>
      </c>
      <c r="D21" s="205" t="s">
        <v>1205</v>
      </c>
      <c r="E21" s="205" t="s">
        <v>1050</v>
      </c>
      <c r="F21" s="205" t="s">
        <v>1059</v>
      </c>
      <c r="G21" s="205" t="s">
        <v>1210</v>
      </c>
      <c r="H21" s="205" t="s">
        <v>1200</v>
      </c>
      <c r="I21" s="205" t="s">
        <v>1211</v>
      </c>
      <c r="J21" s="205" t="s">
        <v>1212</v>
      </c>
      <c r="K21" s="205" t="s">
        <v>1053</v>
      </c>
      <c r="L21" s="205" t="s">
        <v>1213</v>
      </c>
      <c r="M21" s="205" t="s">
        <v>1196</v>
      </c>
      <c r="N21" s="205" t="s">
        <v>1197</v>
      </c>
      <c r="O21" s="205" t="s">
        <v>1214</v>
      </c>
      <c r="P21" s="205" t="s">
        <v>1064</v>
      </c>
      <c r="Q21" s="205" t="s">
        <v>1215</v>
      </c>
      <c r="R21" s="250" t="s">
        <v>1197</v>
      </c>
      <c r="S21" s="1"/>
      <c r="U21" s="254" t="s">
        <v>1181</v>
      </c>
      <c r="V21" s="249" t="s">
        <v>1078</v>
      </c>
      <c r="W21" s="205" t="s">
        <v>1205</v>
      </c>
      <c r="X21" s="205" t="s">
        <v>1050</v>
      </c>
      <c r="Y21" s="205" t="s">
        <v>1059</v>
      </c>
      <c r="Z21" s="205" t="s">
        <v>1210</v>
      </c>
      <c r="AA21" s="205" t="s">
        <v>1200</v>
      </c>
      <c r="AB21" s="205" t="s">
        <v>1119</v>
      </c>
      <c r="AC21" s="205" t="s">
        <v>1219</v>
      </c>
      <c r="AD21" s="205" t="s">
        <v>1053</v>
      </c>
      <c r="AE21" s="205" t="s">
        <v>1213</v>
      </c>
      <c r="AF21" s="205" t="s">
        <v>1196</v>
      </c>
      <c r="AG21" s="205" t="s">
        <v>1095</v>
      </c>
      <c r="AH21" s="205" t="s">
        <v>1214</v>
      </c>
      <c r="AI21" s="205" t="s">
        <v>1271</v>
      </c>
      <c r="AJ21" s="205" t="s">
        <v>1215</v>
      </c>
      <c r="AK21" s="250" t="s">
        <v>1095</v>
      </c>
      <c r="AL21" s="258"/>
    </row>
    <row r="22" spans="2:38" ht="15" customHeight="1" x14ac:dyDescent="0.25">
      <c r="B22" s="254" t="s">
        <v>985</v>
      </c>
      <c r="C22" s="249" t="s">
        <v>1127</v>
      </c>
      <c r="D22" s="205" t="s">
        <v>1216</v>
      </c>
      <c r="E22" s="205" t="s">
        <v>1198</v>
      </c>
      <c r="F22" s="205" t="s">
        <v>1199</v>
      </c>
      <c r="G22" s="205" t="s">
        <v>1208</v>
      </c>
      <c r="H22" s="205" t="s">
        <v>1209</v>
      </c>
      <c r="I22" s="205" t="s">
        <v>1201</v>
      </c>
      <c r="J22" s="205" t="s">
        <v>1058</v>
      </c>
      <c r="K22" s="205" t="s">
        <v>1202</v>
      </c>
      <c r="L22" s="205" t="s">
        <v>1058</v>
      </c>
      <c r="M22" s="205" t="s">
        <v>1198</v>
      </c>
      <c r="N22" s="205" t="s">
        <v>1203</v>
      </c>
      <c r="O22" s="205" t="s">
        <v>1081</v>
      </c>
      <c r="P22" s="205" t="s">
        <v>1204</v>
      </c>
      <c r="Q22" s="205" t="s">
        <v>1078</v>
      </c>
      <c r="R22" s="250" t="s">
        <v>1205</v>
      </c>
      <c r="S22" s="1"/>
      <c r="U22" s="254" t="s">
        <v>985</v>
      </c>
      <c r="V22" s="249" t="s">
        <v>1127</v>
      </c>
      <c r="W22" s="205" t="s">
        <v>1274</v>
      </c>
      <c r="X22" s="205" t="s">
        <v>1198</v>
      </c>
      <c r="Y22" s="205" t="s">
        <v>1199</v>
      </c>
      <c r="Z22" s="205" t="s">
        <v>1265</v>
      </c>
      <c r="AA22" s="205" t="s">
        <v>1209</v>
      </c>
      <c r="AB22" s="205" t="s">
        <v>1201</v>
      </c>
      <c r="AC22" s="205" t="s">
        <v>1058</v>
      </c>
      <c r="AD22" s="205" t="s">
        <v>1202</v>
      </c>
      <c r="AE22" s="205" t="s">
        <v>1058</v>
      </c>
      <c r="AF22" s="205" t="s">
        <v>1198</v>
      </c>
      <c r="AG22" s="205" t="s">
        <v>1203</v>
      </c>
      <c r="AH22" s="205" t="s">
        <v>1081</v>
      </c>
      <c r="AI22" s="205" t="s">
        <v>1264</v>
      </c>
      <c r="AJ22" s="205" t="s">
        <v>1078</v>
      </c>
      <c r="AK22" s="250" t="s">
        <v>1205</v>
      </c>
      <c r="AL22" s="258"/>
    </row>
    <row r="23" spans="2:38" ht="15" customHeight="1" x14ac:dyDescent="0.25">
      <c r="B23" s="254" t="s">
        <v>1182</v>
      </c>
      <c r="C23" s="249" t="s">
        <v>1050</v>
      </c>
      <c r="D23" s="205" t="s">
        <v>1217</v>
      </c>
      <c r="E23" s="205" t="s">
        <v>1218</v>
      </c>
      <c r="F23" s="205" t="s">
        <v>1199</v>
      </c>
      <c r="G23" s="205" t="s">
        <v>1057</v>
      </c>
      <c r="H23" s="205" t="s">
        <v>1219</v>
      </c>
      <c r="I23" s="205" t="s">
        <v>1201</v>
      </c>
      <c r="J23" s="205" t="s">
        <v>1058</v>
      </c>
      <c r="K23" s="205" t="s">
        <v>1202</v>
      </c>
      <c r="L23" s="205" t="s">
        <v>1058</v>
      </c>
      <c r="M23" s="205" t="s">
        <v>1218</v>
      </c>
      <c r="N23" s="205" t="s">
        <v>1203</v>
      </c>
      <c r="O23" s="205" t="s">
        <v>1090</v>
      </c>
      <c r="P23" s="205" t="s">
        <v>1204</v>
      </c>
      <c r="Q23" s="205" t="s">
        <v>1078</v>
      </c>
      <c r="R23" s="250" t="s">
        <v>1205</v>
      </c>
      <c r="S23" s="1"/>
      <c r="U23" s="254" t="s">
        <v>1182</v>
      </c>
      <c r="V23" s="249" t="s">
        <v>1050</v>
      </c>
      <c r="W23" s="205" t="s">
        <v>1217</v>
      </c>
      <c r="X23" s="205" t="s">
        <v>1218</v>
      </c>
      <c r="Y23" s="205" t="s">
        <v>1199</v>
      </c>
      <c r="Z23" s="205" t="s">
        <v>1266</v>
      </c>
      <c r="AA23" s="205" t="s">
        <v>1113</v>
      </c>
      <c r="AB23" s="205" t="s">
        <v>1201</v>
      </c>
      <c r="AC23" s="205" t="s">
        <v>1058</v>
      </c>
      <c r="AD23" s="205" t="s">
        <v>1202</v>
      </c>
      <c r="AE23" s="205" t="s">
        <v>1058</v>
      </c>
      <c r="AF23" s="205" t="s">
        <v>1218</v>
      </c>
      <c r="AG23" s="205" t="s">
        <v>1203</v>
      </c>
      <c r="AH23" s="205" t="s">
        <v>1090</v>
      </c>
      <c r="AI23" s="205" t="s">
        <v>1264</v>
      </c>
      <c r="AJ23" s="205" t="s">
        <v>1078</v>
      </c>
      <c r="AK23" s="250" t="s">
        <v>1205</v>
      </c>
      <c r="AL23" s="258"/>
    </row>
    <row r="24" spans="2:38" ht="15" customHeight="1" x14ac:dyDescent="0.25">
      <c r="B24" s="254" t="s">
        <v>1183</v>
      </c>
      <c r="C24" s="249" t="s">
        <v>1050</v>
      </c>
      <c r="D24" s="205" t="s">
        <v>1187</v>
      </c>
      <c r="E24" s="205" t="s">
        <v>1201</v>
      </c>
      <c r="F24" s="205" t="s">
        <v>1058</v>
      </c>
      <c r="G24" s="205" t="s">
        <v>1063</v>
      </c>
      <c r="H24" s="205" t="s">
        <v>1058</v>
      </c>
      <c r="I24" s="205" t="s">
        <v>1198</v>
      </c>
      <c r="J24" s="205" t="s">
        <v>1199</v>
      </c>
      <c r="K24" s="205" t="s">
        <v>1220</v>
      </c>
      <c r="L24" s="205" t="s">
        <v>1132</v>
      </c>
      <c r="M24" s="205" t="s">
        <v>1201</v>
      </c>
      <c r="N24" s="205" t="s">
        <v>1058</v>
      </c>
      <c r="O24" s="205" t="s">
        <v>1202</v>
      </c>
      <c r="P24" s="205" t="s">
        <v>1058</v>
      </c>
      <c r="Q24" s="205" t="s">
        <v>1198</v>
      </c>
      <c r="R24" s="250" t="s">
        <v>1203</v>
      </c>
      <c r="S24" s="1"/>
      <c r="U24" s="254" t="s">
        <v>1183</v>
      </c>
      <c r="V24" s="249" t="s">
        <v>1050</v>
      </c>
      <c r="W24" s="205" t="s">
        <v>1187</v>
      </c>
      <c r="X24" s="205" t="s">
        <v>1201</v>
      </c>
      <c r="Y24" s="205" t="s">
        <v>1058</v>
      </c>
      <c r="Z24" s="205" t="s">
        <v>1063</v>
      </c>
      <c r="AA24" s="205" t="s">
        <v>1058</v>
      </c>
      <c r="AB24" s="205" t="s">
        <v>1198</v>
      </c>
      <c r="AC24" s="205" t="s">
        <v>1199</v>
      </c>
      <c r="AD24" s="205" t="s">
        <v>1220</v>
      </c>
      <c r="AE24" s="205" t="s">
        <v>1132</v>
      </c>
      <c r="AF24" s="205" t="s">
        <v>1201</v>
      </c>
      <c r="AG24" s="205" t="s">
        <v>1058</v>
      </c>
      <c r="AH24" s="205" t="s">
        <v>1202</v>
      </c>
      <c r="AI24" s="205" t="s">
        <v>1058</v>
      </c>
      <c r="AJ24" s="205" t="s">
        <v>1198</v>
      </c>
      <c r="AK24" s="250" t="s">
        <v>1203</v>
      </c>
      <c r="AL24" s="258"/>
    </row>
    <row r="25" spans="2:38" ht="15" customHeight="1" x14ac:dyDescent="0.25">
      <c r="B25" s="254" t="s">
        <v>1184</v>
      </c>
      <c r="C25" s="249" t="s">
        <v>1060</v>
      </c>
      <c r="D25" s="205" t="s">
        <v>1204</v>
      </c>
      <c r="E25" s="205" t="s">
        <v>1078</v>
      </c>
      <c r="F25" s="205" t="s">
        <v>1205</v>
      </c>
      <c r="G25" s="205" t="s">
        <v>1206</v>
      </c>
      <c r="H25" s="205" t="s">
        <v>1114</v>
      </c>
      <c r="I25" s="205" t="s">
        <v>1210</v>
      </c>
      <c r="J25" s="205" t="s">
        <v>1200</v>
      </c>
      <c r="K25" s="205" t="s">
        <v>1211</v>
      </c>
      <c r="L25" s="205" t="s">
        <v>1064</v>
      </c>
      <c r="M25" s="205" t="s">
        <v>1090</v>
      </c>
      <c r="N25" s="205" t="s">
        <v>1084</v>
      </c>
      <c r="O25" s="205" t="s">
        <v>1201</v>
      </c>
      <c r="P25" s="205" t="s">
        <v>1058</v>
      </c>
      <c r="Q25" s="205" t="s">
        <v>1063</v>
      </c>
      <c r="R25" s="250" t="s">
        <v>1058</v>
      </c>
      <c r="S25" s="1"/>
      <c r="U25" s="254" t="s">
        <v>1184</v>
      </c>
      <c r="V25" s="249" t="s">
        <v>1060</v>
      </c>
      <c r="W25" s="205" t="s">
        <v>1264</v>
      </c>
      <c r="X25" s="205" t="s">
        <v>1078</v>
      </c>
      <c r="Y25" s="205" t="s">
        <v>1205</v>
      </c>
      <c r="Z25" s="205" t="s">
        <v>1206</v>
      </c>
      <c r="AA25" s="205" t="s">
        <v>1114</v>
      </c>
      <c r="AB25" s="205" t="s">
        <v>1210</v>
      </c>
      <c r="AC25" s="205" t="s">
        <v>1200</v>
      </c>
      <c r="AD25" s="205" t="s">
        <v>1119</v>
      </c>
      <c r="AE25" s="255" t="s">
        <v>1219</v>
      </c>
      <c r="AF25" s="205" t="s">
        <v>1090</v>
      </c>
      <c r="AG25" s="205" t="s">
        <v>1084</v>
      </c>
      <c r="AH25" s="205" t="s">
        <v>1201</v>
      </c>
      <c r="AI25" s="205" t="s">
        <v>1058</v>
      </c>
      <c r="AJ25" s="205" t="s">
        <v>1063</v>
      </c>
      <c r="AK25" s="250" t="s">
        <v>1058</v>
      </c>
      <c r="AL25" s="258"/>
    </row>
    <row r="26" spans="2:38" ht="15" customHeight="1" x14ac:dyDescent="0.25">
      <c r="B26" s="254" t="s">
        <v>986</v>
      </c>
      <c r="C26" s="249" t="s">
        <v>1210</v>
      </c>
      <c r="D26" s="205" t="s">
        <v>1209</v>
      </c>
      <c r="E26" s="205" t="s">
        <v>1220</v>
      </c>
      <c r="F26" s="205" t="s">
        <v>1132</v>
      </c>
      <c r="G26" s="205" t="s">
        <v>1053</v>
      </c>
      <c r="H26" s="205" t="s">
        <v>1186</v>
      </c>
      <c r="I26" s="205" t="s">
        <v>1201</v>
      </c>
      <c r="J26" s="205" t="s">
        <v>1058</v>
      </c>
      <c r="K26" s="205" t="s">
        <v>1063</v>
      </c>
      <c r="L26" s="205" t="s">
        <v>1058</v>
      </c>
      <c r="M26" s="205" t="s">
        <v>1221</v>
      </c>
      <c r="N26" s="205" t="s">
        <v>1222</v>
      </c>
      <c r="O26" s="205" t="s">
        <v>1220</v>
      </c>
      <c r="P26" s="205" t="s">
        <v>1132</v>
      </c>
      <c r="Q26" s="205" t="s">
        <v>1053</v>
      </c>
      <c r="R26" s="250" t="s">
        <v>1060</v>
      </c>
      <c r="S26" s="1"/>
      <c r="U26" s="254" t="s">
        <v>986</v>
      </c>
      <c r="V26" s="249" t="s">
        <v>1210</v>
      </c>
      <c r="W26" s="205" t="s">
        <v>1209</v>
      </c>
      <c r="X26" s="205" t="s">
        <v>1220</v>
      </c>
      <c r="Y26" s="205" t="s">
        <v>1132</v>
      </c>
      <c r="Z26" s="205" t="s">
        <v>1053</v>
      </c>
      <c r="AA26" s="205" t="s">
        <v>1186</v>
      </c>
      <c r="AB26" s="205" t="s">
        <v>1201</v>
      </c>
      <c r="AC26" s="205" t="s">
        <v>1058</v>
      </c>
      <c r="AD26" s="205" t="s">
        <v>1063</v>
      </c>
      <c r="AE26" s="205" t="s">
        <v>1058</v>
      </c>
      <c r="AF26" s="205" t="s">
        <v>1221</v>
      </c>
      <c r="AG26" s="205" t="s">
        <v>1222</v>
      </c>
      <c r="AH26" s="205" t="s">
        <v>1220</v>
      </c>
      <c r="AI26" s="205" t="s">
        <v>1132</v>
      </c>
      <c r="AJ26" s="205" t="s">
        <v>1053</v>
      </c>
      <c r="AK26" s="250" t="s">
        <v>1060</v>
      </c>
      <c r="AL26" s="258"/>
    </row>
    <row r="27" spans="2:38" ht="15" customHeight="1" thickBot="1" x14ac:dyDescent="0.3">
      <c r="B27" s="254" t="s">
        <v>1185</v>
      </c>
      <c r="C27" s="251" t="s">
        <v>1201</v>
      </c>
      <c r="D27" s="252" t="s">
        <v>1058</v>
      </c>
      <c r="E27" s="252" t="s">
        <v>1063</v>
      </c>
      <c r="F27" s="252" t="s">
        <v>1058</v>
      </c>
      <c r="G27" s="252" t="s">
        <v>1221</v>
      </c>
      <c r="H27" s="252" t="s">
        <v>1200</v>
      </c>
      <c r="I27" s="252" t="s">
        <v>1220</v>
      </c>
      <c r="J27" s="252" t="s">
        <v>1132</v>
      </c>
      <c r="K27" s="252" t="s">
        <v>1223</v>
      </c>
      <c r="L27" s="252" t="s">
        <v>1209</v>
      </c>
      <c r="M27" s="252" t="s">
        <v>1223</v>
      </c>
      <c r="N27" s="252" t="s">
        <v>1215</v>
      </c>
      <c r="O27" s="252" t="s">
        <v>1224</v>
      </c>
      <c r="P27" s="252" t="s">
        <v>1058</v>
      </c>
      <c r="Q27" s="252" t="s">
        <v>1048</v>
      </c>
      <c r="R27" s="253" t="s">
        <v>1048</v>
      </c>
      <c r="S27" s="1"/>
      <c r="U27" s="254" t="s">
        <v>1185</v>
      </c>
      <c r="V27" s="251" t="s">
        <v>1201</v>
      </c>
      <c r="W27" s="252" t="s">
        <v>1058</v>
      </c>
      <c r="X27" s="252" t="s">
        <v>1063</v>
      </c>
      <c r="Y27" s="252" t="s">
        <v>1058</v>
      </c>
      <c r="Z27" s="252" t="s">
        <v>1221</v>
      </c>
      <c r="AA27" s="252" t="s">
        <v>1200</v>
      </c>
      <c r="AB27" s="252" t="s">
        <v>1220</v>
      </c>
      <c r="AC27" s="252" t="s">
        <v>1132</v>
      </c>
      <c r="AD27" s="252" t="s">
        <v>1223</v>
      </c>
      <c r="AE27" s="252" t="s">
        <v>1209</v>
      </c>
      <c r="AF27" s="252" t="s">
        <v>1272</v>
      </c>
      <c r="AG27" s="252">
        <v>89</v>
      </c>
      <c r="AH27" s="252" t="s">
        <v>1224</v>
      </c>
      <c r="AI27" s="252" t="s">
        <v>1058</v>
      </c>
      <c r="AJ27" s="252" t="s">
        <v>1048</v>
      </c>
      <c r="AK27" s="253" t="s">
        <v>1048</v>
      </c>
      <c r="AL27" s="258"/>
    </row>
    <row r="28" spans="2:38" ht="12.75" customHeight="1" x14ac:dyDescent="0.25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U28" s="257"/>
      <c r="V28" s="258"/>
      <c r="W28" s="258"/>
      <c r="X28" s="258"/>
      <c r="Y28" s="258"/>
      <c r="Z28" s="258"/>
      <c r="AA28" s="258"/>
      <c r="AB28" s="258"/>
      <c r="AC28" s="258"/>
      <c r="AD28" s="258"/>
      <c r="AE28" s="258"/>
      <c r="AF28" s="258"/>
      <c r="AG28" s="258"/>
      <c r="AH28" s="258"/>
      <c r="AI28" s="258"/>
      <c r="AJ28" s="258"/>
      <c r="AK28" s="258"/>
      <c r="AL28" s="258"/>
    </row>
    <row r="29" spans="2:38" ht="12.75" customHeight="1" x14ac:dyDescent="0.25"/>
    <row r="30" spans="2:38" ht="12.75" customHeight="1" x14ac:dyDescent="0.25"/>
    <row r="31" spans="2:38" ht="12.75" customHeight="1" x14ac:dyDescent="0.25"/>
    <row r="32" spans="2:38" ht="12.75" customHeight="1" x14ac:dyDescent="0.25"/>
    <row r="33" ht="12.75" customHeight="1" x14ac:dyDescent="0.25"/>
    <row r="34" ht="12.75" customHeight="1" x14ac:dyDescent="0.25"/>
    <row r="35" ht="12.75" customHeight="1" x14ac:dyDescent="0.25"/>
    <row r="36" ht="12.75" customHeight="1" x14ac:dyDescent="0.25"/>
    <row r="37" ht="12.75" customHeight="1" x14ac:dyDescent="0.25"/>
    <row r="38" ht="12.75" customHeight="1" x14ac:dyDescent="0.25"/>
    <row r="39" ht="12.75" customHeight="1" x14ac:dyDescent="0.25"/>
    <row r="40" ht="12.75" customHeight="1" x14ac:dyDescent="0.25"/>
    <row r="41" ht="12.75" customHeight="1" x14ac:dyDescent="0.25"/>
    <row r="42" ht="12.75" customHeight="1" x14ac:dyDescent="0.25"/>
    <row r="43" ht="12.75" customHeight="1" x14ac:dyDescent="0.25"/>
    <row r="44" ht="12.75" customHeight="1" x14ac:dyDescent="0.25"/>
    <row r="45" ht="12.75" customHeight="1" x14ac:dyDescent="0.25"/>
    <row r="46" ht="12.75" customHeight="1" x14ac:dyDescent="0.25"/>
    <row r="47" ht="12.75" customHeight="1" x14ac:dyDescent="0.25"/>
    <row r="48" ht="12.75" customHeight="1" x14ac:dyDescent="0.25"/>
    <row r="49" ht="12.75" customHeight="1" x14ac:dyDescent="0.25"/>
  </sheetData>
  <sheetProtection password="FD37" sheet="1" objects="1" scenarios="1"/>
  <mergeCells count="38">
    <mergeCell ref="C11:R12"/>
    <mergeCell ref="C14:G14"/>
    <mergeCell ref="C17:R17"/>
    <mergeCell ref="C3:R10"/>
    <mergeCell ref="V17:AK17"/>
    <mergeCell ref="V4:X4"/>
    <mergeCell ref="V5:X5"/>
    <mergeCell ref="V6:X6"/>
    <mergeCell ref="V7:X7"/>
    <mergeCell ref="AB3:AD3"/>
    <mergeCell ref="AB5:AD5"/>
    <mergeCell ref="AB9:AD9"/>
    <mergeCell ref="Y10:AA10"/>
    <mergeCell ref="Y5:AA5"/>
    <mergeCell ref="AI7:AK7"/>
    <mergeCell ref="AI8:AK8"/>
    <mergeCell ref="V3:X3"/>
    <mergeCell ref="Y3:AA3"/>
    <mergeCell ref="AF3:AH3"/>
    <mergeCell ref="AE7:AH7"/>
    <mergeCell ref="V8:X8"/>
    <mergeCell ref="AI3:AK3"/>
    <mergeCell ref="AI4:AK4"/>
    <mergeCell ref="AI5:AK5"/>
    <mergeCell ref="AI6:AK6"/>
    <mergeCell ref="AE4:AH4"/>
    <mergeCell ref="AE5:AH5"/>
    <mergeCell ref="AE6:AH6"/>
    <mergeCell ref="V12:AC12"/>
    <mergeCell ref="AD12:AL12"/>
    <mergeCell ref="AE10:AH10"/>
    <mergeCell ref="AI10:AK10"/>
    <mergeCell ref="AE8:AH8"/>
    <mergeCell ref="V9:X9"/>
    <mergeCell ref="AI9:AK9"/>
    <mergeCell ref="Y9:AA9"/>
    <mergeCell ref="AE9:AH9"/>
    <mergeCell ref="V10:X10"/>
  </mergeCells>
  <conditionalFormatting sqref="V19:AK27">
    <cfRule type="expression" dxfId="0" priority="1">
      <formula>C19&lt;&gt;V19</formula>
    </cfRule>
  </conditionalFormatting>
  <dataValidations count="1">
    <dataValidation showInputMessage="1" showErrorMessage="1" sqref="S2:S15 G2:R2 K14 I14 B2:F13 G13:R13 B14:C15 D15:R15" xr:uid="{00000000-0002-0000-0C00-000000000000}"/>
  </dataValidations>
  <hyperlinks>
    <hyperlink ref="C11" r:id="rId1" xr:uid="{00000000-0004-0000-0C00-000000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13</vt:i4>
      </vt:variant>
    </vt:vector>
  </HeadingPairs>
  <TitlesOfParts>
    <vt:vector size="13" baseType="lpstr">
      <vt:lpstr>ME7 TUNER WIZZARD SETTINGS</vt:lpstr>
      <vt:lpstr>TITLE</vt:lpstr>
      <vt:lpstr>EEPROM MODDER</vt:lpstr>
      <vt:lpstr>CODEWORDS CONVERTER</vt:lpstr>
      <vt:lpstr>INJECTORS DATABASE</vt:lpstr>
      <vt:lpstr>KRKTE CALCULATOR</vt:lpstr>
      <vt:lpstr>FKKVS FIXER</vt:lpstr>
      <vt:lpstr>KFMIRL ADVISER</vt:lpstr>
      <vt:lpstr>KFMIOP CALCULATOR (16x16|11x16)</vt:lpstr>
      <vt:lpstr>KFMIOP CALCULATOR (12x16|11x16)</vt:lpstr>
      <vt:lpstr>KFZWOP|2 CONVERTER</vt:lpstr>
      <vt:lpstr>LDRXN|LDRXNZK CALCULATOR</vt:lpstr>
      <vt:lpstr>ANTILAG|LAUNCH CONTROL MODDER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Marius</dc:creator>
  <cp:lastModifiedBy>Vladimir Rudkovsky</cp:lastModifiedBy>
  <dcterms:created xsi:type="dcterms:W3CDTF">2012-01-08T23:30:09Z</dcterms:created>
  <dcterms:modified xsi:type="dcterms:W3CDTF">2021-05-30T18:20:12Z</dcterms:modified>
</cp:coreProperties>
</file>