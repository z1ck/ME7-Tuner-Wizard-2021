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2.bin" ContentType="application/vnd.openxmlformats-officedocument.oleObject"/>
  <Override PartName="/xl/drawings/drawing7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3" r:id="rId2"/>
    <sheet name="EEPROM MODDER" sheetId="252" r:id="rId3"/>
    <sheet name="INJECTORS DATABASE" sheetId="240" r:id="rId4"/>
    <sheet name="KRKTE CALCULATOR" sheetId="238" r:id="rId5"/>
    <sheet name="FKKVS FIXER" sheetId="248" r:id="rId6"/>
    <sheet name="KFMIRL ADVISER" sheetId="2" r:id="rId7"/>
    <sheet name="KFMIOP CALCULATOR (16x16|11x16)" sheetId="106" r:id="rId8"/>
    <sheet name="KFMIOP CALCULATOR (12x16|11x16)" sheetId="224" r:id="rId9"/>
    <sheet name="KFZWOP|2 CONVERTER" sheetId="246" r:id="rId10"/>
    <sheet name="LDRXN|LDRXNZK CALCULATOR" sheetId="226" r:id="rId11"/>
  </sheets>
  <functionGroups builtInGroupCount="17"/>
  <calcPr calcId="145621"/>
</workbook>
</file>

<file path=xl/calcChain.xml><?xml version="1.0" encoding="utf-8"?>
<calcChain xmlns="http://schemas.openxmlformats.org/spreadsheetml/2006/main">
  <c r="D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H18" i="253" l="1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<sst xmlns="http://schemas.openxmlformats.org/spreadsheetml/2006/main" count="3101" uniqueCount="1162">
  <si>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</si>
  <si>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</si>
  <si>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</si>
  <si>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</si>
  <si>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</si>
  <si>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</si>
  <si>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</si>
  <si>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</si>
  <si>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</si>
  <si>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</si>
  <si>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</si>
  <si>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</si>
  <si>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</si>
  <si>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</si>
  <si>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</si>
  <si>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</si>
  <si>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</si>
  <si>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</si>
  <si>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</si>
  <si>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</si>
  <si>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</si>
  <si>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</si>
  <si>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</si>
  <si>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</si>
  <si>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</si>
  <si>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</si>
  <si>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</si>
  <si>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</si>
  <si>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</si>
  <si>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</si>
  <si>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</si>
  <si>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</si>
  <si>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</si>
  <si>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</si>
  <si>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</si>
  <si>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</si>
  <si>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</si>
  <si>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</si>
  <si>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</si>
  <si>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</si>
  <si>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</si>
  <si>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</si>
  <si>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</si>
  <si>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</si>
  <si>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</si>
  <si>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</si>
  <si>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</si>
  <si>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</si>
  <si>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</si>
  <si>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</si>
  <si>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</si>
  <si>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</si>
  <si>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</si>
  <si>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</si>
  <si>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</si>
  <si>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</si>
  <si>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</si>
  <si>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</si>
  <si>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</si>
  <si>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</si>
  <si>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</si>
  <si>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</si>
  <si>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</si>
  <si>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</si>
  <si>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</si>
  <si>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</si>
  <si>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</si>
  <si>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</si>
  <si>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</si>
  <si>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</si>
  <si>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</si>
  <si>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</si>
  <si>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</si>
  <si>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</si>
  <si>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</si>
  <si>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</si>
  <si>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</si>
  <si>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</si>
  <si>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</si>
  <si>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</si>
  <si>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</si>
  <si>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</si>
  <si>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</si>
  <si>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</si>
  <si>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</si>
  <si>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</si>
  <si>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</si>
  <si>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</si>
  <si>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</si>
  <si>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</si>
  <si>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</si>
  <si>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</si>
  <si>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</si>
  <si>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</si>
  <si>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</si>
  <si>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</si>
  <si>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</si>
  <si>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</si>
  <si>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</si>
  <si>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</si>
  <si>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</si>
  <si>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</si>
  <si>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</si>
  <si>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</si>
  <si>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</si>
  <si>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</si>
  <si>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</si>
  <si>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</si>
  <si>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</si>
  <si>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</si>
  <si>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</si>
  <si>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</si>
  <si>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</si>
  <si>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</si>
  <si>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</si>
  <si>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</si>
  <si>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</si>
  <si>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</si>
  <si>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</si>
  <si>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</si>
  <si>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</si>
  <si>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</si>
  <si>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</si>
  <si>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</si>
  <si>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</si>
  <si>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</si>
  <si>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</si>
  <si>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</si>
  <si>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</si>
  <si>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</si>
  <si>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</si>
  <si>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</si>
  <si>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</si>
  <si>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</si>
  <si>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</si>
  <si>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</si>
  <si>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</si>
  <si>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</si>
  <si>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</si>
  <si>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</si>
  <si>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</si>
  <si>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</si>
  <si>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</si>
  <si>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</si>
  <si>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</si>
  <si>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</si>
  <si>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</si>
  <si>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</si>
  <si>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</si>
  <si>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</si>
  <si>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</si>
  <si>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</si>
  <si>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</si>
  <si>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</si>
  <si>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</si>
  <si>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</si>
  <si>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</si>
  <si>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</si>
  <si>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</si>
  <si>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</si>
  <si>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</si>
  <si>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</si>
  <si>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</si>
  <si>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</si>
  <si>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</si>
  <si>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</si>
  <si>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</si>
  <si>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</si>
  <si>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</si>
  <si>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</si>
  <si>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</si>
  <si>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</si>
  <si>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</si>
  <si>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</si>
  <si>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</si>
  <si>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</si>
  <si>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</si>
  <si>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</si>
  <si>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</si>
  <si>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</si>
  <si>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</si>
  <si>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</si>
  <si>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</si>
  <si>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</si>
  <si>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</si>
  <si>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</si>
  <si>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</si>
  <si>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</si>
  <si>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</si>
  <si>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</si>
  <si>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</si>
  <si>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</si>
  <si>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</si>
  <si>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</si>
  <si>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</si>
  <si>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</si>
  <si>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</si>
  <si>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</si>
  <si>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</si>
  <si>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</si>
  <si>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</si>
  <si>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</si>
  <si>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</si>
  <si>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</si>
  <si>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</si>
  <si>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</si>
  <si>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</si>
  <si>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</si>
  <si>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</si>
  <si>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</si>
  <si>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</si>
  <si>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</si>
  <si>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</si>
  <si>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</si>
  <si>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</si>
  <si>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</si>
  <si>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</si>
  <si>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</si>
  <si>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</si>
  <si>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</si>
  <si>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</si>
  <si>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</si>
  <si>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</si>
  <si>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</si>
  <si>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</si>
  <si>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</si>
  <si>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</si>
  <si>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</si>
  <si>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</si>
  <si>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</si>
  <si>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</si>
  <si>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</si>
  <si>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</si>
  <si>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</si>
  <si>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</si>
  <si>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</si>
  <si>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</si>
  <si>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</si>
  <si>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</si>
  <si>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</si>
  <si>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</si>
  <si>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</si>
  <si>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</si>
  <si>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</si>
  <si>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</si>
  <si>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</si>
  <si>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</si>
  <si>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</si>
  <si>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</si>
  <si>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</si>
  <si>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</si>
  <si>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</si>
  <si>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</si>
  <si>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</si>
  <si>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</si>
  <si>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</si>
  <si>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</si>
  <si>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</si>
  <si>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</si>
  <si>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</si>
  <si>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</si>
  <si>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</si>
  <si>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</si>
  <si>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</si>
  <si>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</si>
  <si>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</si>
  <si>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</si>
  <si>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</si>
  <si>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</si>
  <si>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</si>
  <si>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</si>
  <si>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</si>
  <si>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</si>
  <si>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</si>
  <si>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</si>
  <si>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</si>
  <si>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</si>
  <si>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</si>
  <si>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</si>
  <si>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</si>
  <si>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</si>
  <si>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</si>
  <si>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</si>
  <si>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</si>
  <si>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</si>
  <si>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</si>
  <si>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</si>
  <si>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</si>
  <si>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</si>
  <si>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</si>
  <si>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</si>
  <si>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</si>
  <si>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</si>
  <si>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</si>
  <si>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</si>
  <si>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</si>
  <si>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</si>
  <si>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</si>
  <si>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</si>
  <si>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</si>
  <si>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</si>
  <si>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</si>
  <si>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</si>
  <si>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</si>
  <si>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</si>
  <si>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</si>
  <si>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</si>
  <si>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</si>
  <si>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</si>
  <si>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</si>
  <si>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</si>
  <si>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</si>
  <si>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</si>
  <si>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</si>
  <si>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</si>
  <si>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</si>
  <si>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</si>
  <si>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</si>
  <si>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</si>
  <si>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</si>
  <si>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</si>
  <si>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</si>
  <si>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</si>
  <si>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</si>
  <si>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</si>
  <si>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</si>
  <si>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</si>
  <si>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</si>
  <si>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</si>
  <si>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</si>
  <si>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</si>
  <si>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</si>
  <si>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</si>
  <si>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</si>
  <si>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</si>
  <si>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</si>
  <si>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</si>
  <si>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</si>
  <si>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</si>
  <si>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</si>
  <si>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</si>
  <si>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</si>
  <si>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</si>
  <si>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</si>
  <si>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</si>
  <si>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</si>
  <si>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</si>
  <si>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</si>
  <si>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</si>
  <si>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</si>
  <si>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</si>
  <si>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</si>
  <si>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</si>
  <si>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</si>
  <si>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</si>
  <si>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</si>
  <si>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</si>
  <si>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</si>
  <si>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</si>
  <si>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</si>
  <si>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</si>
  <si>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</si>
  <si>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</si>
  <si>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</si>
  <si>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</si>
  <si>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</si>
  <si>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</si>
  <si>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</si>
  <si>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</si>
  <si>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</si>
  <si>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</si>
  <si>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</si>
  <si>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</si>
  <si>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</si>
  <si>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</si>
  <si>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</si>
  <si>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</si>
  <si>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</si>
  <si>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</si>
  <si>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</si>
  <si>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</si>
  <si>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</si>
  <si>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</si>
  <si>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</si>
  <si>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</si>
  <si>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</si>
  <si>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</si>
  <si>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</si>
  <si>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</si>
  <si>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</si>
  <si>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</si>
  <si>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</si>
  <si>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</si>
  <si>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</si>
  <si>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</si>
  <si>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</si>
  <si>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</si>
  <si>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</si>
  <si>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</si>
  <si>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</si>
  <si>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</si>
  <si>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</si>
  <si>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</si>
  <si>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</si>
  <si>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</si>
  <si>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</si>
  <si>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</si>
  <si>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</si>
  <si>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</si>
  <si>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</si>
  <si>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</si>
  <si>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</si>
  <si>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</si>
  <si>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</si>
  <si>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</si>
  <si>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</si>
  <si>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</si>
  <si>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</si>
  <si>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</si>
  <si>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</si>
  <si>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</si>
  <si>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</si>
  <si>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</si>
  <si>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</si>
  <si>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</si>
  <si>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</si>
  <si>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</si>
  <si>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</si>
  <si>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</si>
  <si>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</si>
  <si>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</si>
  <si>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</si>
  <si>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</si>
  <si>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</si>
  <si>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</si>
  <si>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</si>
  <si>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</si>
  <si>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</si>
  <si>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</si>
  <si>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</si>
  <si>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</si>
  <si>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</si>
  <si>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</si>
  <si>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</si>
  <si>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</si>
  <si>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</si>
  <si>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</si>
  <si>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</si>
  <si>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</si>
  <si>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</si>
  <si>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</si>
  <si>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</si>
  <si>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</si>
  <si>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</si>
  <si>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</si>
  <si>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</si>
  <si>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</si>
  <si>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</si>
  <si>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</si>
  <si>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</si>
  <si>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</si>
  <si>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</si>
  <si>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</si>
  <si>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</si>
  <si>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</si>
  <si>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</si>
  <si>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</si>
  <si>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</si>
  <si>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</si>
  <si>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</si>
  <si>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</si>
  <si>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</si>
  <si>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</si>
  <si>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</si>
  <si>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</si>
  <si>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</si>
  <si>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</si>
  <si>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</si>
  <si>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</si>
  <si>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</si>
  <si>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</si>
  <si>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</si>
  <si>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</si>
  <si>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</si>
  <si>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</si>
  <si>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</si>
  <si>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</si>
  <si>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</si>
  <si>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</si>
  <si>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</si>
  <si>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</si>
  <si>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</si>
  <si>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</si>
  <si>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</si>
  <si>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</si>
  <si>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</si>
  <si>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</si>
  <si>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</si>
  <si>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</si>
  <si>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</si>
  <si>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</si>
  <si>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</si>
  <si>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</si>
  <si>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</si>
  <si>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</si>
  <si>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</si>
  <si>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</si>
  <si>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</si>
  <si>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</si>
  <si>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</si>
  <si>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</si>
  <si>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</si>
  <si>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</si>
  <si>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</si>
  <si>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</si>
  <si>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</si>
  <si>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</si>
  <si>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</si>
  <si>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</si>
  <si>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</si>
  <si>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</si>
  <si>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</si>
  <si>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</si>
  <si>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</si>
  <si>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</si>
  <si>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</si>
  <si>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</si>
  <si>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</si>
  <si>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</si>
  <si>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</si>
  <si>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</si>
  <si>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</si>
  <si>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</si>
  <si>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</si>
  <si>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</si>
  <si>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</si>
  <si>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</si>
  <si>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</si>
  <si>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</si>
  <si>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</si>
  <si>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</si>
  <si>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</si>
  <si>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</si>
  <si>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</si>
  <si>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</si>
  <si>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</si>
  <si>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</si>
  <si>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</si>
  <si>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</si>
  <si>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</si>
  <si>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</si>
  <si>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</si>
  <si>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</si>
  <si>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</si>
  <si>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</si>
  <si>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</si>
  <si>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</si>
  <si>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</si>
  <si>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</si>
  <si>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</si>
  <si>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</si>
  <si>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</si>
  <si>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</si>
  <si>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</si>
  <si>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</si>
  <si>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</si>
  <si>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</si>
  <si>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</si>
  <si>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</si>
  <si>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</si>
  <si>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</si>
  <si>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</si>
  <si>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</si>
  <si>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</si>
  <si>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</si>
  <si>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</si>
  <si>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</si>
  <si>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</si>
  <si>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</si>
  <si>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</si>
  <si>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</si>
  <si>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</si>
  <si>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</si>
  <si>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</si>
  <si>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</si>
  <si>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</si>
  <si>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</si>
  <si>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</si>
  <si>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</si>
  <si>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</si>
  <si>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</si>
  <si>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</si>
  <si>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</si>
  <si>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</si>
  <si>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</si>
  <si>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</si>
  <si>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</si>
  <si>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</si>
  <si>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</si>
  <si>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</si>
  <si>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</si>
  <si>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</si>
  <si>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</si>
  <si>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</si>
  <si>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</si>
  <si>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</si>
  <si>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</si>
  <si>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</si>
  <si>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</si>
  <si>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</si>
  <si>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</si>
  <si>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</si>
  <si>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</si>
  <si>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</si>
  <si>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</si>
  <si>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</si>
  <si>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</si>
  <si>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</si>
  <si>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</si>
  <si>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</si>
  <si>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</si>
  <si>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</si>
  <si>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</si>
  <si>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</si>
  <si>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</si>
  <si>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</si>
  <si>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</si>
  <si>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</si>
  <si>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</si>
  <si>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</si>
  <si>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</si>
  <si>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</si>
  <si>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</si>
  <si>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</si>
  <si>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</si>
  <si>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</si>
  <si>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</si>
  <si>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</si>
  <si>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</si>
  <si>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</si>
  <si>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</si>
  <si>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</si>
  <si>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</si>
  <si>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</si>
  <si>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</si>
  <si>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</si>
  <si>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</si>
  <si>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</si>
  <si>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</si>
  <si>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</si>
  <si>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</si>
  <si>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</si>
  <si>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</si>
  <si>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</si>
  <si>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</si>
  <si>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</si>
  <si>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</si>
  <si>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</si>
  <si>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</si>
  <si>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</si>
  <si>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</si>
  <si>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</si>
  <si>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</si>
  <si>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</si>
  <si>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</si>
  <si>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</si>
  <si>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</si>
  <si>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</si>
  <si>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</si>
  <si>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</si>
  <si>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</si>
  <si>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</si>
  <si>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</si>
  <si>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</si>
  <si>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</si>
  <si>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</si>
  <si>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</si>
  <si>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</si>
  <si>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</si>
  <si>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</si>
  <si>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</si>
  <si>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</si>
  <si>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</si>
  <si>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</si>
  <si>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</si>
  <si>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</si>
  <si>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</si>
  <si>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</si>
  <si>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</si>
  <si>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</si>
  <si>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</si>
  <si>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</si>
  <si>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</si>
  <si>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</si>
  <si>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</si>
  <si>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</si>
  <si>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</si>
  <si>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</si>
  <si>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</si>
  <si>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</si>
  <si>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</si>
  <si>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</si>
  <si>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</si>
  <si>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</si>
  <si>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</si>
  <si>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</si>
  <si>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</si>
  <si>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</si>
  <si>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</si>
  <si>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</si>
  <si>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</si>
  <si>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</si>
  <si>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</si>
  <si>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</si>
  <si>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</si>
  <si>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</si>
  <si>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</si>
  <si>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</si>
  <si>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</si>
  <si>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</si>
  <si>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</si>
  <si>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</si>
  <si>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</si>
  <si>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</si>
  <si>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</si>
  <si>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</si>
  <si>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</si>
  <si>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</si>
  <si>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</si>
  <si>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</si>
  <si>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</si>
  <si>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</si>
  <si>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</si>
  <si>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</si>
  <si>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</si>
  <si>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</si>
  <si>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</si>
  <si>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</si>
  <si>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</si>
  <si>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</si>
  <si>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</si>
  <si>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</si>
  <si>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</si>
  <si>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</si>
  <si>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</si>
  <si>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</si>
  <si>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</si>
  <si>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</si>
  <si>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</si>
  <si>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</si>
  <si>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</si>
  <si>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</si>
  <si>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</si>
  <si>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</si>
  <si>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</si>
  <si>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</si>
  <si>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</si>
  <si>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</si>
  <si>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</si>
  <si>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</si>
  <si>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</si>
  <si>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</si>
  <si>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</si>
  <si>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</si>
  <si>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</si>
  <si>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</si>
  <si>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</si>
  <si>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</si>
  <si>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</si>
  <si>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</si>
  <si>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</si>
  <si>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</si>
  <si>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</si>
  <si>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</si>
  <si>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</si>
  <si>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</si>
  <si>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</si>
  <si>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</si>
  <si>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</si>
  <si>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</si>
  <si>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</si>
  <si>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</si>
  <si>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</si>
  <si>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</si>
  <si>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</si>
  <si>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</si>
  <si>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</si>
  <si>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</si>
  <si>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</si>
  <si>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</si>
  <si>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</si>
  <si>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</si>
  <si>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</si>
  <si>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</si>
  <si>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</si>
  <si>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</si>
  <si>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</si>
  <si>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</si>
  <si>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</si>
  <si>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</si>
  <si>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</si>
  <si>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</si>
  <si>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</si>
  <si>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</si>
  <si>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</si>
  <si>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</si>
  <si>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</si>
  <si>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</si>
  <si>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</si>
  <si>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</si>
  <si>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</si>
  <si>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</si>
  <si>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</si>
  <si>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</si>
  <si>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</si>
  <si>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</si>
  <si>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</si>
  <si>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</si>
  <si>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</si>
  <si>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</si>
  <si>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</si>
  <si>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</si>
  <si>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</si>
  <si>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</si>
  <si>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</si>
  <si>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</si>
  <si>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</si>
  <si>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</si>
  <si>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</si>
  <si>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</si>
  <si>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</si>
  <si>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</si>
  <si>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</si>
  <si>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</si>
  <si>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</si>
  <si>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</si>
  <si>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</si>
  <si>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</si>
  <si>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</si>
  <si>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</si>
  <si>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</si>
  <si>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</si>
  <si>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</si>
  <si>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</si>
  <si>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</si>
  <si>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</si>
  <si>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</si>
  <si>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</si>
  <si>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</si>
  <si>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</si>
  <si>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</si>
  <si>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</si>
  <si>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</si>
  <si>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</si>
  <si>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</si>
  <si>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</si>
  <si>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</si>
  <si>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</si>
  <si>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</si>
  <si>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</si>
  <si>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</si>
  <si>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</si>
  <si>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</si>
  <si>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</si>
  <si>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</si>
  <si>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</si>
  <si>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</si>
  <si>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</si>
  <si>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</si>
  <si>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</si>
  <si>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</si>
  <si>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</si>
  <si>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</si>
  <si>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</si>
  <si>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</si>
  <si>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</si>
  <si>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</si>
  <si>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</si>
  <si>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</si>
  <si>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</si>
  <si>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</si>
  <si>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</si>
  <si>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</si>
  <si>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</si>
  <si>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</si>
  <si>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</si>
  <si>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</si>
  <si>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</si>
  <si>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</si>
  <si>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</si>
  <si>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</si>
  <si>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</si>
  <si>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</si>
  <si>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</si>
  <si>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</si>
  <si>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</si>
  <si>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</si>
  <si>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</si>
  <si>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</si>
  <si>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</si>
  <si>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</si>
  <si>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</si>
  <si>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</si>
  <si>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</si>
  <si>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</si>
  <si>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</si>
  <si>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</si>
  <si>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</si>
  <si>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</si>
  <si>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</si>
  <si>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</si>
  <si>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</si>
  <si>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</si>
  <si>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</si>
  <si>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</si>
  <si>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</si>
  <si>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</si>
  <si>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</si>
  <si>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</si>
  <si>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</si>
  <si>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</si>
  <si>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</si>
  <si>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</si>
  <si>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</si>
  <si>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</si>
  <si>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</si>
  <si>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</si>
  <si>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</si>
  <si>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</si>
  <si>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</si>
  <si>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</si>
  <si>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</si>
  <si>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</si>
  <si>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</si>
  <si>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</si>
  <si>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</si>
  <si>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</si>
  <si>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</si>
  <si>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</si>
  <si>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</si>
  <si>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</si>
  <si>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</si>
  <si>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</si>
  <si>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</si>
  <si>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</si>
  <si>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</si>
  <si>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</si>
  <si>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</si>
  <si>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</si>
  <si>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</si>
  <si>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</si>
  <si>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</si>
  <si>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</si>
  <si>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</si>
  <si>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</si>
  <si>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</si>
  <si>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</si>
  <si>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</si>
  <si>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</si>
  <si>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</si>
  <si>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</si>
  <si>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</si>
  <si>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</si>
  <si>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</si>
  <si>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</si>
  <si>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</si>
  <si>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</si>
  <si>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</si>
  <si>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</si>
  <si>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</si>
  <si>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</si>
  <si>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</si>
  <si>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</si>
  <si>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</si>
  <si>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</si>
  <si>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</si>
  <si>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</si>
  <si>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</si>
  <si>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</si>
  <si>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</si>
  <si>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</si>
  <si>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</si>
  <si>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</si>
  <si>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</si>
  <si>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</si>
  <si>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</si>
  <si>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</si>
  <si>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</si>
  <si>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</si>
  <si>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</si>
  <si>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</si>
  <si>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</si>
  <si>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</si>
  <si>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</si>
  <si>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</si>
  <si>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</si>
  <si>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</si>
  <si>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</si>
  <si>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</si>
  <si>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</si>
  <si>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</si>
  <si>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</si>
  <si>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</si>
  <si>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</si>
  <si>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</si>
  <si>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</si>
  <si>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</si>
  <si>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</si>
  <si>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</si>
  <si>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</si>
  <si>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</si>
  <si>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FKKVS MAP</t>
  </si>
  <si>
    <t>MS RPM</t>
  </si>
  <si>
    <t>LOADED FILE PATH</t>
  </si>
  <si>
    <t>MS</t>
  </si>
  <si>
    <t xml:space="preserve">RPM IMPERFECTION: </t>
  </si>
  <si>
    <t xml:space="preserve">INJECTOR IMPERFECTION: </t>
  </si>
  <si>
    <t>TRY TO GUESS VALUES: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</si>
  <si>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</si>
  <si>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</si>
  <si>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t>1) EEPROM MODDER</t>
  </si>
  <si>
    <t>2) INJECTORS DATABASE</t>
  </si>
  <si>
    <t>3) KRKTE CALCULATOR</t>
  </si>
  <si>
    <t>4) FKKVS FIXER</t>
  </si>
  <si>
    <t>5) KFMIRL ADVISER</t>
  </si>
  <si>
    <t>6) KFMIOP CALCULATOR (16x16|11x16)</t>
  </si>
  <si>
    <t>7) KFMIOP CALCULATOR (12x16|11x16)</t>
  </si>
  <si>
    <t>8) KFZWOP|2 CONVERTER</t>
  </si>
  <si>
    <t>9) LDRXN|LDRXNZK CALCULATOR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</si>
  <si>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</si>
  <si>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</si>
  <si>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</si>
  <si>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</si>
  <si>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</si>
  <si>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</si>
  <si>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</si>
  <si>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</si>
  <si>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</si>
  <si>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</si>
  <si>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</si>
  <si>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</si>
  <si>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</si>
  <si>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</si>
  <si>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</si>
  <si>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</si>
  <si>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</si>
  <si>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</si>
  <si>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</si>
  <si>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</si>
  <si>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</si>
  <si>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</si>
  <si>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</si>
  <si>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</si>
  <si>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</si>
  <si>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</si>
  <si>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</si>
  <si>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</si>
  <si>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</si>
  <si>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</si>
  <si>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</si>
  <si>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</si>
  <si>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</si>
  <si>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</si>
  <si>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</si>
  <si>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</si>
  <si>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</si>
  <si>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</si>
  <si>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</si>
  <si>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</si>
  <si>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</si>
  <si>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</si>
  <si>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</si>
  <si>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</si>
  <si>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</si>
  <si>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</si>
  <si>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</si>
  <si>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</si>
  <si>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</si>
  <si>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</si>
  <si>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</si>
  <si>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</si>
  <si>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</si>
  <si>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</si>
  <si>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</si>
  <si>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</si>
  <si>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</si>
  <si>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</si>
  <si>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</si>
  <si>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</si>
  <si>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</si>
  <si>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</si>
  <si>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</si>
  <si>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</si>
  <si>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</si>
  <si>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</si>
  <si>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</si>
  <si>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</si>
  <si>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</si>
  <si>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</si>
  <si>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</si>
  <si>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</si>
  <si>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</si>
  <si>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</si>
  <si>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</si>
  <si>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</si>
  <si>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</si>
  <si>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</si>
  <si>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</si>
  <si>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</si>
  <si>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</si>
  <si>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</si>
  <si>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</si>
  <si>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</si>
  <si>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</si>
  <si>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</si>
  <si>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</si>
  <si>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</si>
  <si>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</si>
  <si>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</si>
  <si>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</si>
  <si>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</si>
  <si>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</si>
  <si>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</si>
  <si>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</si>
  <si>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</si>
  <si>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</si>
  <si>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</si>
  <si>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</si>
  <si>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</si>
  <si>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</si>
  <si>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</si>
  <si>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</si>
  <si>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</si>
  <si>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</si>
  <si>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</si>
  <si>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</si>
  <si>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</si>
  <si>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</si>
  <si>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</si>
  <si>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</si>
  <si>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</si>
  <si>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</si>
  <si>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</si>
  <si>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</si>
  <si>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</si>
  <si>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</si>
  <si>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</si>
  <si>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</si>
  <si>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</si>
  <si>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</si>
  <si>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</si>
  <si>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</si>
  <si>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</si>
  <si>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</si>
  <si>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</si>
  <si>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</si>
  <si>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</si>
  <si>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9/11/2012  3:08:16 PM</t>
  </si>
  <si>
    <t>KVB:</t>
  </si>
  <si>
    <t>D:\Sandbox\masterj\VAG_COM\drive\C\Program Files (x86)\ME7Logger_GUI v1.4\logs\FKKVS CALIBRATION_20121015_223634.csv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</si>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</sst>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36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50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5" fontId="1" fillId="13" borderId="39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41" xfId="0" applyNumberFormat="1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49" fontId="1" fillId="12" borderId="84" xfId="0" quotePrefix="1" applyNumberFormat="1" applyFont="1" applyFill="1" applyBorder="1" applyAlignment="1" applyProtection="1">
      <alignment horizontal="center" vertical="center"/>
      <protection locked="0"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1"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C5D9F1"/>
      <color rgb="FFDBE5F1"/>
      <color rgb="FF7F7F7F"/>
      <color rgb="FF646464"/>
      <color rgb="FFB2A1C7"/>
      <color rgb="FFF9B277"/>
      <color rgb="FFFDE9D9"/>
      <color rgb="FFFF9933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arius.guscius@vwklubas.l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9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58" t="s">
        <v>22</v>
      </c>
      <c r="F7" s="258"/>
      <c r="G7" s="258"/>
      <c r="H7" s="258"/>
      <c r="I7" s="258"/>
      <c r="J7" s="258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55" t="s">
        <v>23</v>
      </c>
      <c r="F9" s="255"/>
      <c r="G9" s="255"/>
      <c r="H9" s="256" t="s">
        <v>1157</v>
      </c>
      <c r="I9" s="257"/>
      <c r="J9" s="257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55" t="s">
        <v>26</v>
      </c>
      <c r="F11" s="255"/>
      <c r="G11" s="255"/>
      <c r="H11" s="256">
        <v>2784</v>
      </c>
      <c r="I11" s="257"/>
      <c r="J11" s="257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55" t="s">
        <v>24</v>
      </c>
      <c r="F13" s="255"/>
      <c r="G13" s="255"/>
      <c r="H13" s="256" t="s">
        <v>25</v>
      </c>
      <c r="I13" s="257"/>
      <c r="J13" s="257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18"/>
  <sheetViews>
    <sheetView showRowColHeaders="0" tabSelected="1" workbookViewId="0">
      <selection activeCell="D10" sqref="D10:K10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61" t="s">
        <v>28</v>
      </c>
      <c r="J1" s="262"/>
      <c r="K1" s="262"/>
      <c r="L1" s="262"/>
    </row>
    <row r="2" spans="2:13" ht="60" customHeight="1" x14ac:dyDescent="0.25">
      <c r="C2" s="259" t="s">
        <v>21</v>
      </c>
      <c r="D2" s="260"/>
      <c r="E2" s="260"/>
      <c r="F2" s="260"/>
      <c r="G2" s="260"/>
      <c r="H2" s="260"/>
      <c r="I2" s="260"/>
      <c r="J2" s="260"/>
      <c r="K2" s="260"/>
      <c r="L2" s="260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63" t="s">
        <v>10</v>
      </c>
      <c r="E6" s="264"/>
      <c r="F6" s="264"/>
      <c r="G6" s="264"/>
      <c r="H6" s="264"/>
      <c r="I6" s="264"/>
      <c r="J6" s="264"/>
      <c r="K6" s="264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68" t="s">
        <v>1020</v>
      </c>
      <c r="E8" s="269"/>
      <c r="F8" s="269"/>
      <c r="G8" s="269"/>
      <c r="H8" s="269"/>
      <c r="I8" s="269"/>
      <c r="J8" s="269"/>
      <c r="K8" s="269"/>
      <c r="L8" s="70"/>
      <c r="M8" s="1"/>
    </row>
    <row r="9" spans="2:13" x14ac:dyDescent="0.25">
      <c r="B9" s="1"/>
      <c r="C9" s="69"/>
      <c r="D9" s="268" t="s">
        <v>1021</v>
      </c>
      <c r="E9" s="269"/>
      <c r="F9" s="269"/>
      <c r="G9" s="269"/>
      <c r="H9" s="269"/>
      <c r="I9" s="269"/>
      <c r="J9" s="269"/>
      <c r="K9" s="269"/>
      <c r="L9" s="70"/>
      <c r="M9" s="1"/>
    </row>
    <row r="10" spans="2:13" x14ac:dyDescent="0.25">
      <c r="B10" s="1"/>
      <c r="C10" s="69"/>
      <c r="D10" s="268" t="s">
        <v>1022</v>
      </c>
      <c r="E10" s="269"/>
      <c r="F10" s="269"/>
      <c r="G10" s="269"/>
      <c r="H10" s="269"/>
      <c r="I10" s="269"/>
      <c r="J10" s="269"/>
      <c r="K10" s="269"/>
      <c r="L10" s="70"/>
      <c r="M10" s="1"/>
    </row>
    <row r="11" spans="2:13" x14ac:dyDescent="0.25">
      <c r="B11" s="1"/>
      <c r="C11" s="69"/>
      <c r="D11" s="268" t="s">
        <v>1023</v>
      </c>
      <c r="E11" s="269"/>
      <c r="F11" s="269"/>
      <c r="G11" s="269"/>
      <c r="H11" s="269"/>
      <c r="I11" s="269"/>
      <c r="J11" s="269"/>
      <c r="K11" s="269"/>
      <c r="L11" s="70"/>
      <c r="M11" s="1"/>
    </row>
    <row r="12" spans="2:13" x14ac:dyDescent="0.25">
      <c r="B12" s="1"/>
      <c r="C12" s="69"/>
      <c r="D12" s="268" t="s">
        <v>1024</v>
      </c>
      <c r="E12" s="269"/>
      <c r="F12" s="269"/>
      <c r="G12" s="269"/>
      <c r="H12" s="269"/>
      <c r="I12" s="269"/>
      <c r="J12" s="269"/>
      <c r="K12" s="269"/>
      <c r="L12" s="70"/>
      <c r="M12" s="1"/>
    </row>
    <row r="13" spans="2:13" x14ac:dyDescent="0.25">
      <c r="B13" s="1"/>
      <c r="C13" s="69"/>
      <c r="D13" s="268" t="s">
        <v>1025</v>
      </c>
      <c r="E13" s="269"/>
      <c r="F13" s="269"/>
      <c r="G13" s="269"/>
      <c r="H13" s="269"/>
      <c r="I13" s="269"/>
      <c r="J13" s="269"/>
      <c r="K13" s="269"/>
      <c r="L13" s="70"/>
      <c r="M13" s="1"/>
    </row>
    <row r="14" spans="2:13" x14ac:dyDescent="0.25">
      <c r="B14" s="1"/>
      <c r="C14" s="69"/>
      <c r="D14" s="268" t="s">
        <v>1026</v>
      </c>
      <c r="E14" s="269"/>
      <c r="F14" s="269"/>
      <c r="G14" s="269"/>
      <c r="H14" s="269"/>
      <c r="I14" s="269"/>
      <c r="J14" s="269"/>
      <c r="K14" s="269"/>
      <c r="L14" s="70"/>
      <c r="M14" s="1"/>
    </row>
    <row r="15" spans="2:13" x14ac:dyDescent="0.25">
      <c r="B15" s="1"/>
      <c r="C15" s="69"/>
      <c r="D15" s="268" t="s">
        <v>1027</v>
      </c>
      <c r="E15" s="269"/>
      <c r="F15" s="269"/>
      <c r="G15" s="269"/>
      <c r="H15" s="269"/>
      <c r="I15" s="269"/>
      <c r="J15" s="269"/>
      <c r="K15" s="269"/>
      <c r="L15" s="70"/>
      <c r="M15" s="1"/>
    </row>
    <row r="16" spans="2:13" x14ac:dyDescent="0.25">
      <c r="B16" s="1"/>
      <c r="C16" s="69"/>
      <c r="D16" s="268" t="s">
        <v>1028</v>
      </c>
      <c r="E16" s="269"/>
      <c r="F16" s="269"/>
      <c r="G16" s="269"/>
      <c r="H16" s="269"/>
      <c r="I16" s="269"/>
      <c r="J16" s="269"/>
      <c r="K16" s="269"/>
      <c r="L16" s="70"/>
      <c r="M16" s="1"/>
    </row>
    <row r="17" spans="2:13" x14ac:dyDescent="0.25">
      <c r="B17" s="1"/>
      <c r="C17" s="72"/>
      <c r="D17" s="108"/>
      <c r="E17" s="108"/>
      <c r="F17" s="108"/>
      <c r="G17" s="108"/>
      <c r="H17" s="108"/>
      <c r="I17" s="108"/>
      <c r="J17" s="108"/>
      <c r="K17" s="108"/>
      <c r="L17" s="73"/>
      <c r="M17" s="1"/>
    </row>
    <row r="18" spans="2:13" x14ac:dyDescent="0.25">
      <c r="B18" s="1"/>
      <c r="C18" s="1"/>
      <c r="D18" s="267" t="s">
        <v>27</v>
      </c>
      <c r="E18" s="267"/>
      <c r="F18" s="267"/>
      <c r="G18" s="267"/>
      <c r="H18" s="265" t="str">
        <f t="shared" ref="H18" si="0">HYPERLINK("mailto:marius.guscius@vwklubas.lt", "&lt;marius.guscius@vwklubas.lt&gt;")</f>
        <v>&lt;marius.guscius@vwklubas.lt&gt;</v>
      </c>
      <c r="I18" s="266"/>
      <c r="J18" s="266"/>
      <c r="K18" s="266"/>
      <c r="L18" s="1"/>
      <c r="M18" s="1"/>
    </row>
  </sheetData>
  <sheetProtection password="FD37" sheet="1" objects="1" scenarios="1"/>
  <mergeCells count="14">
    <mergeCell ref="C2:L2"/>
    <mergeCell ref="I1:L1"/>
    <mergeCell ref="D6:K6"/>
    <mergeCell ref="H18:K18"/>
    <mergeCell ref="D18:G18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</mergeCells>
  <hyperlinks>
    <hyperlink ref="D8:K8" location="'EEPROM MODDER'!A1" display="1) EEPROM MODDER"/>
    <hyperlink ref="D9:K9" location="'INJECTORS DATABASE'!A1" display="2) INJECTORS DATABASE"/>
    <hyperlink ref="D10:K10" location="'KRKTE CALCULATOR'!A1" display="3) KRKTE CALCULATOR"/>
    <hyperlink ref="D11:K11" location="'FKKVS FIXER'!A1" display="4) FKKVS FIXER"/>
    <hyperlink ref="D12:K12" location="'KFMIRL ADVISER'!A1" display="5) KFMIRL ADVISER"/>
    <hyperlink ref="D13:K13" location="'KFMIOP CALCULATOR (16x16|11x16)'!A1" display="6) KFMIOP CALCULATOR (16x16|11x16)"/>
    <hyperlink ref="D14:K14" location="'KFMIOP CALCULATOR (12x16|11x16)'!A1" display="7) KFMIOP CALCULATOR (12x16|11x16)"/>
    <hyperlink ref="D15:K15" location="'KFZWOP|2 CONVERTER'!A1" display="8) KFZWOP|2 CONVERTER"/>
    <hyperlink ref="D16:K16" location="'LDRXN|LDRXNZK CALCULATOR'!A1" display="9) LDRXN|LDRXNZK CALCULATOR"/>
  </hyperlink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AM23" sqref="AM23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85" t="s">
        <v>1087</v>
      </c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7"/>
      <c r="AL2" s="287"/>
    </row>
    <row r="3" spans="2:38" x14ac:dyDescent="0.25">
      <c r="B3" s="48"/>
      <c r="C3" s="273" t="s">
        <v>1091</v>
      </c>
      <c r="D3" s="274"/>
      <c r="E3" s="274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276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2"/>
      <c r="U4" s="278" t="s">
        <v>1086</v>
      </c>
      <c r="V4" s="279"/>
      <c r="W4" s="279"/>
      <c r="X4" s="279"/>
      <c r="Y4" s="279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276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276"/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2"/>
      <c r="U6" s="278" t="s">
        <v>1083</v>
      </c>
      <c r="V6" s="279"/>
      <c r="W6" s="279"/>
      <c r="X6" s="279"/>
      <c r="Y6" s="279"/>
      <c r="Z6" s="282" t="s">
        <v>1090</v>
      </c>
      <c r="AA6" s="283"/>
      <c r="AB6" s="283"/>
      <c r="AC6" s="283"/>
      <c r="AD6" s="283"/>
      <c r="AE6" s="284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276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276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1"/>
      <c r="U8" s="278" t="s">
        <v>1084</v>
      </c>
      <c r="V8" s="279"/>
      <c r="W8" s="279"/>
      <c r="X8" s="292" t="s">
        <v>1149</v>
      </c>
      <c r="Y8" s="293"/>
      <c r="Z8" s="293"/>
      <c r="AA8" s="293"/>
      <c r="AB8" s="293"/>
      <c r="AC8" s="293"/>
      <c r="AD8" s="293"/>
      <c r="AE8" s="292" t="s">
        <v>1149</v>
      </c>
      <c r="AF8" s="293"/>
      <c r="AG8" s="293"/>
      <c r="AH8" s="293"/>
      <c r="AI8" s="293"/>
      <c r="AJ8" s="293"/>
      <c r="AK8" s="293"/>
      <c r="AL8" s="1"/>
    </row>
    <row r="9" spans="2:38" x14ac:dyDescent="0.25">
      <c r="B9" s="58"/>
      <c r="C9" s="276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6"/>
      <c r="AF9" s="246"/>
      <c r="AG9" s="246"/>
      <c r="AH9" s="246"/>
      <c r="AI9" s="246"/>
      <c r="AJ9" s="246"/>
      <c r="AK9" s="247"/>
      <c r="AL9" s="1"/>
    </row>
    <row r="10" spans="2:38" x14ac:dyDescent="0.25">
      <c r="B10" s="1"/>
      <c r="C10" s="276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1"/>
      <c r="U10" s="288" t="s">
        <v>1088</v>
      </c>
      <c r="V10" s="289"/>
      <c r="W10" s="289"/>
      <c r="X10" s="290" t="s">
        <v>1150</v>
      </c>
      <c r="Y10" s="291"/>
      <c r="Z10" s="291"/>
      <c r="AA10" s="29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277" t="s">
        <v>0</v>
      </c>
      <c r="D11" s="275"/>
      <c r="E11" s="275"/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5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5"/>
      <c r="AK11" s="1"/>
      <c r="AL11" s="1"/>
    </row>
    <row r="12" spans="2:38" x14ac:dyDescent="0.25">
      <c r="B12" s="48"/>
      <c r="C12" s="276"/>
      <c r="D12" s="274"/>
      <c r="E12" s="274"/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5"/>
      <c r="S12" s="22"/>
      <c r="U12" s="24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70"/>
      <c r="D14" s="271"/>
      <c r="E14" s="271"/>
      <c r="F14" s="271"/>
      <c r="G14" s="272"/>
      <c r="H14" s="1"/>
      <c r="I14" s="229" t="s">
        <v>2</v>
      </c>
      <c r="J14" s="1"/>
      <c r="K14" s="230" t="s">
        <v>1</v>
      </c>
      <c r="L14" s="1"/>
      <c r="M14" s="1"/>
      <c r="N14" s="1"/>
      <c r="O14" s="1"/>
      <c r="P14" s="1"/>
      <c r="Q14" s="1"/>
      <c r="R14" s="1"/>
      <c r="S14" s="243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280" t="s">
        <v>1061</v>
      </c>
      <c r="D17" s="281"/>
      <c r="E17" s="281"/>
      <c r="F17" s="281"/>
      <c r="G17" s="281"/>
      <c r="H17" s="281"/>
      <c r="I17" s="281"/>
      <c r="J17" s="281"/>
      <c r="K17" s="281"/>
      <c r="L17" s="281"/>
      <c r="M17" s="281"/>
      <c r="N17" s="281"/>
      <c r="O17" s="281"/>
      <c r="P17" s="281"/>
      <c r="Q17" s="281"/>
      <c r="R17" s="281"/>
      <c r="S17" s="242"/>
      <c r="T17" s="241"/>
      <c r="U17" s="1"/>
      <c r="V17" s="280" t="s">
        <v>1062</v>
      </c>
      <c r="W17" s="281"/>
      <c r="X17" s="281"/>
      <c r="Y17" s="281"/>
      <c r="Z17" s="281"/>
      <c r="AA17" s="281"/>
      <c r="AB17" s="281"/>
      <c r="AC17" s="281"/>
      <c r="AD17" s="281"/>
      <c r="AE17" s="281"/>
      <c r="AF17" s="281"/>
      <c r="AG17" s="281"/>
      <c r="AH17" s="281"/>
      <c r="AI17" s="281"/>
      <c r="AJ17" s="281"/>
      <c r="AK17" s="281"/>
      <c r="AL17" s="242"/>
    </row>
    <row r="18" spans="2:38" ht="12.75" customHeight="1" thickTop="1" x14ac:dyDescent="0.25">
      <c r="B18" s="231" t="s">
        <v>1029</v>
      </c>
      <c r="C18" s="232" t="s">
        <v>983</v>
      </c>
      <c r="D18" s="233" t="s">
        <v>1078</v>
      </c>
      <c r="E18" s="233" t="s">
        <v>1069</v>
      </c>
      <c r="F18" s="233" t="s">
        <v>983</v>
      </c>
      <c r="G18" s="233" t="s">
        <v>1074</v>
      </c>
      <c r="H18" s="233" t="s">
        <v>1064</v>
      </c>
      <c r="I18" s="233" t="s">
        <v>1063</v>
      </c>
      <c r="J18" s="233" t="s">
        <v>1070</v>
      </c>
      <c r="K18" s="233" t="s">
        <v>1097</v>
      </c>
      <c r="L18" s="233" t="s">
        <v>1089</v>
      </c>
      <c r="M18" s="233" t="s">
        <v>1098</v>
      </c>
      <c r="N18" s="233" t="s">
        <v>1098</v>
      </c>
      <c r="O18" s="233" t="s">
        <v>1069</v>
      </c>
      <c r="P18" s="233" t="s">
        <v>1069</v>
      </c>
      <c r="Q18" s="233" t="s">
        <v>1098</v>
      </c>
      <c r="R18" s="234" t="s">
        <v>1064</v>
      </c>
      <c r="S18" s="1"/>
      <c r="U18" s="231" t="s">
        <v>1029</v>
      </c>
      <c r="V18" s="232" t="s">
        <v>983</v>
      </c>
      <c r="W18" s="233" t="s">
        <v>1078</v>
      </c>
      <c r="X18" s="233" t="s">
        <v>1069</v>
      </c>
      <c r="Y18" s="233" t="s">
        <v>983</v>
      </c>
      <c r="Z18" s="233" t="s">
        <v>1074</v>
      </c>
      <c r="AA18" s="233" t="s">
        <v>1064</v>
      </c>
      <c r="AB18" s="233" t="s">
        <v>1063</v>
      </c>
      <c r="AC18" s="233" t="s">
        <v>1070</v>
      </c>
      <c r="AD18" s="233" t="s">
        <v>1097</v>
      </c>
      <c r="AE18" s="233" t="s">
        <v>1089</v>
      </c>
      <c r="AF18" s="233" t="s">
        <v>1098</v>
      </c>
      <c r="AG18" s="233" t="s">
        <v>1098</v>
      </c>
      <c r="AH18" s="233" t="s">
        <v>1069</v>
      </c>
      <c r="AI18" s="233" t="s">
        <v>1069</v>
      </c>
      <c r="AJ18" s="233" t="s">
        <v>1098</v>
      </c>
      <c r="AK18" s="234" t="s">
        <v>1064</v>
      </c>
      <c r="AL18" s="1"/>
    </row>
    <row r="19" spans="2:38" ht="12.75" customHeight="1" x14ac:dyDescent="0.25">
      <c r="B19" s="231" t="s">
        <v>1030</v>
      </c>
      <c r="C19" s="235" t="s">
        <v>1070</v>
      </c>
      <c r="D19" s="236" t="s">
        <v>1071</v>
      </c>
      <c r="E19" s="236" t="s">
        <v>1071</v>
      </c>
      <c r="F19" s="236" t="s">
        <v>1073</v>
      </c>
      <c r="G19" s="236" t="s">
        <v>1099</v>
      </c>
      <c r="H19" s="236" t="s">
        <v>1100</v>
      </c>
      <c r="I19" s="236" t="s">
        <v>1073</v>
      </c>
      <c r="J19" s="236" t="s">
        <v>1073</v>
      </c>
      <c r="K19" s="236" t="s">
        <v>1073</v>
      </c>
      <c r="L19" s="236" t="s">
        <v>1073</v>
      </c>
      <c r="M19" s="236" t="s">
        <v>1101</v>
      </c>
      <c r="N19" s="236" t="s">
        <v>1100</v>
      </c>
      <c r="O19" s="236" t="s">
        <v>1073</v>
      </c>
      <c r="P19" s="236" t="s">
        <v>1102</v>
      </c>
      <c r="Q19" s="236" t="s">
        <v>1103</v>
      </c>
      <c r="R19" s="237" t="s">
        <v>1065</v>
      </c>
      <c r="S19" s="1"/>
      <c r="U19" s="231" t="s">
        <v>1030</v>
      </c>
      <c r="V19" s="235" t="s">
        <v>1070</v>
      </c>
      <c r="W19" s="236" t="s">
        <v>1071</v>
      </c>
      <c r="X19" s="236" t="s">
        <v>1071</v>
      </c>
      <c r="Y19" s="236" t="s">
        <v>1073</v>
      </c>
      <c r="Z19" s="236" t="s">
        <v>1099</v>
      </c>
      <c r="AA19" s="236" t="s">
        <v>1100</v>
      </c>
      <c r="AB19" s="236" t="s">
        <v>1073</v>
      </c>
      <c r="AC19" s="236" t="s">
        <v>1073</v>
      </c>
      <c r="AD19" s="236" t="s">
        <v>1073</v>
      </c>
      <c r="AE19" s="236" t="s">
        <v>1073</v>
      </c>
      <c r="AF19" s="236" t="s">
        <v>1101</v>
      </c>
      <c r="AG19" s="236" t="s">
        <v>1100</v>
      </c>
      <c r="AH19" s="236" t="s">
        <v>1073</v>
      </c>
      <c r="AI19" s="236" t="s">
        <v>1102</v>
      </c>
      <c r="AJ19" s="236" t="s">
        <v>1103</v>
      </c>
      <c r="AK19" s="237" t="s">
        <v>1065</v>
      </c>
      <c r="AL19" s="1"/>
    </row>
    <row r="20" spans="2:38" ht="12.75" customHeight="1" x14ac:dyDescent="0.25">
      <c r="B20" s="231" t="s">
        <v>1031</v>
      </c>
      <c r="C20" s="235" t="s">
        <v>1070</v>
      </c>
      <c r="D20" s="236" t="s">
        <v>1071</v>
      </c>
      <c r="E20" s="236" t="s">
        <v>1071</v>
      </c>
      <c r="F20" s="236" t="s">
        <v>1073</v>
      </c>
      <c r="G20" s="236" t="s">
        <v>1099</v>
      </c>
      <c r="H20" s="236" t="s">
        <v>1100</v>
      </c>
      <c r="I20" s="236" t="s">
        <v>1073</v>
      </c>
      <c r="J20" s="236" t="s">
        <v>1073</v>
      </c>
      <c r="K20" s="236" t="s">
        <v>1073</v>
      </c>
      <c r="L20" s="236" t="s">
        <v>1073</v>
      </c>
      <c r="M20" s="236" t="s">
        <v>1101</v>
      </c>
      <c r="N20" s="236" t="s">
        <v>1100</v>
      </c>
      <c r="O20" s="236" t="s">
        <v>1073</v>
      </c>
      <c r="P20" s="236" t="s">
        <v>1102</v>
      </c>
      <c r="Q20" s="236" t="s">
        <v>1092</v>
      </c>
      <c r="R20" s="237" t="s">
        <v>1065</v>
      </c>
      <c r="S20" s="1"/>
      <c r="U20" s="231" t="s">
        <v>1031</v>
      </c>
      <c r="V20" s="235" t="s">
        <v>1070</v>
      </c>
      <c r="W20" s="236" t="s">
        <v>1071</v>
      </c>
      <c r="X20" s="236" t="s">
        <v>1071</v>
      </c>
      <c r="Y20" s="236" t="s">
        <v>1073</v>
      </c>
      <c r="Z20" s="236" t="s">
        <v>1099</v>
      </c>
      <c r="AA20" s="236" t="s">
        <v>1100</v>
      </c>
      <c r="AB20" s="236" t="s">
        <v>1073</v>
      </c>
      <c r="AC20" s="236" t="s">
        <v>1073</v>
      </c>
      <c r="AD20" s="236" t="s">
        <v>1073</v>
      </c>
      <c r="AE20" s="236" t="s">
        <v>1073</v>
      </c>
      <c r="AF20" s="236" t="s">
        <v>1101</v>
      </c>
      <c r="AG20" s="236" t="s">
        <v>1100</v>
      </c>
      <c r="AH20" s="236" t="s">
        <v>1073</v>
      </c>
      <c r="AI20" s="236" t="s">
        <v>1102</v>
      </c>
      <c r="AJ20" s="236" t="s">
        <v>1092</v>
      </c>
      <c r="AK20" s="237" t="s">
        <v>1065</v>
      </c>
      <c r="AL20" s="1"/>
    </row>
    <row r="21" spans="2:38" ht="12.75" customHeight="1" x14ac:dyDescent="0.25">
      <c r="B21" s="231" t="s">
        <v>1032</v>
      </c>
      <c r="C21" s="235" t="s">
        <v>1075</v>
      </c>
      <c r="D21" s="236" t="s">
        <v>1071</v>
      </c>
      <c r="E21" s="236" t="s">
        <v>1104</v>
      </c>
      <c r="F21" s="236" t="s">
        <v>1105</v>
      </c>
      <c r="G21" s="236" t="s">
        <v>1106</v>
      </c>
      <c r="H21" s="236" t="s">
        <v>1107</v>
      </c>
      <c r="I21" s="236" t="s">
        <v>1108</v>
      </c>
      <c r="J21" s="236" t="s">
        <v>1093</v>
      </c>
      <c r="K21" s="236" t="s">
        <v>1109</v>
      </c>
      <c r="L21" s="236" t="s">
        <v>1081</v>
      </c>
      <c r="M21" s="236" t="s">
        <v>1110</v>
      </c>
      <c r="N21" s="236" t="s">
        <v>1073</v>
      </c>
      <c r="O21" s="236" t="s">
        <v>1071</v>
      </c>
      <c r="P21" s="236" t="s">
        <v>1073</v>
      </c>
      <c r="Q21" s="236" t="s">
        <v>1080</v>
      </c>
      <c r="R21" s="237" t="s">
        <v>1111</v>
      </c>
      <c r="S21" s="1"/>
      <c r="U21" s="231" t="s">
        <v>1032</v>
      </c>
      <c r="V21" s="235" t="s">
        <v>1075</v>
      </c>
      <c r="W21" s="236" t="s">
        <v>1071</v>
      </c>
      <c r="X21" s="236" t="s">
        <v>1104</v>
      </c>
      <c r="Y21" s="236" t="s">
        <v>1105</v>
      </c>
      <c r="Z21" s="236" t="s">
        <v>1106</v>
      </c>
      <c r="AA21" s="236" t="s">
        <v>1107</v>
      </c>
      <c r="AB21" s="236" t="s">
        <v>1108</v>
      </c>
      <c r="AC21" s="236" t="s">
        <v>1093</v>
      </c>
      <c r="AD21" s="236" t="s">
        <v>1109</v>
      </c>
      <c r="AE21" s="236" t="s">
        <v>1081</v>
      </c>
      <c r="AF21" s="236" t="s">
        <v>1110</v>
      </c>
      <c r="AG21" s="236" t="s">
        <v>1073</v>
      </c>
      <c r="AH21" s="236" t="s">
        <v>1071</v>
      </c>
      <c r="AI21" s="236" t="s">
        <v>1073</v>
      </c>
      <c r="AJ21" s="236" t="s">
        <v>1080</v>
      </c>
      <c r="AK21" s="237" t="s">
        <v>1111</v>
      </c>
      <c r="AL21" s="1"/>
    </row>
    <row r="22" spans="2:38" ht="12.75" customHeight="1" x14ac:dyDescent="0.25">
      <c r="B22" s="231" t="s">
        <v>1033</v>
      </c>
      <c r="C22" s="235" t="s">
        <v>1075</v>
      </c>
      <c r="D22" s="236" t="s">
        <v>1071</v>
      </c>
      <c r="E22" s="236" t="s">
        <v>1104</v>
      </c>
      <c r="F22" s="236" t="s">
        <v>1105</v>
      </c>
      <c r="G22" s="236" t="s">
        <v>1106</v>
      </c>
      <c r="H22" s="236" t="s">
        <v>1107</v>
      </c>
      <c r="I22" s="236" t="s">
        <v>1108</v>
      </c>
      <c r="J22" s="236" t="s">
        <v>1093</v>
      </c>
      <c r="K22" s="236" t="s">
        <v>1109</v>
      </c>
      <c r="L22" s="236" t="s">
        <v>1081</v>
      </c>
      <c r="M22" s="236" t="s">
        <v>1110</v>
      </c>
      <c r="N22" s="236" t="s">
        <v>1073</v>
      </c>
      <c r="O22" s="236" t="s">
        <v>1071</v>
      </c>
      <c r="P22" s="236" t="s">
        <v>1073</v>
      </c>
      <c r="Q22" s="236" t="s">
        <v>1112</v>
      </c>
      <c r="R22" s="237" t="s">
        <v>1111</v>
      </c>
      <c r="S22" s="1"/>
      <c r="U22" s="231" t="s">
        <v>1033</v>
      </c>
      <c r="V22" s="235" t="s">
        <v>1075</v>
      </c>
      <c r="W22" s="236" t="s">
        <v>1071</v>
      </c>
      <c r="X22" s="236" t="s">
        <v>1104</v>
      </c>
      <c r="Y22" s="236" t="s">
        <v>1105</v>
      </c>
      <c r="Z22" s="236" t="s">
        <v>1106</v>
      </c>
      <c r="AA22" s="236" t="s">
        <v>1107</v>
      </c>
      <c r="AB22" s="236" t="s">
        <v>1108</v>
      </c>
      <c r="AC22" s="236" t="s">
        <v>1093</v>
      </c>
      <c r="AD22" s="236" t="s">
        <v>1109</v>
      </c>
      <c r="AE22" s="236" t="s">
        <v>1081</v>
      </c>
      <c r="AF22" s="236" t="s">
        <v>1110</v>
      </c>
      <c r="AG22" s="236" t="s">
        <v>1073</v>
      </c>
      <c r="AH22" s="236" t="s">
        <v>1071</v>
      </c>
      <c r="AI22" s="236" t="s">
        <v>1073</v>
      </c>
      <c r="AJ22" s="236" t="s">
        <v>1112</v>
      </c>
      <c r="AK22" s="237" t="s">
        <v>1111</v>
      </c>
      <c r="AL22" s="1"/>
    </row>
    <row r="23" spans="2:38" ht="12.75" customHeight="1" x14ac:dyDescent="0.25">
      <c r="B23" s="231" t="s">
        <v>1034</v>
      </c>
      <c r="C23" s="235" t="s">
        <v>1076</v>
      </c>
      <c r="D23" s="236" t="s">
        <v>1072</v>
      </c>
      <c r="E23" s="236" t="s">
        <v>1094</v>
      </c>
      <c r="F23" s="236" t="s">
        <v>1072</v>
      </c>
      <c r="G23" s="236" t="s">
        <v>1100</v>
      </c>
      <c r="H23" s="236" t="s">
        <v>1071</v>
      </c>
      <c r="I23" s="236" t="s">
        <v>1075</v>
      </c>
      <c r="J23" s="236" t="s">
        <v>1073</v>
      </c>
      <c r="K23" s="236" t="s">
        <v>1110</v>
      </c>
      <c r="L23" s="236" t="s">
        <v>1075</v>
      </c>
      <c r="M23" s="236" t="s">
        <v>1113</v>
      </c>
      <c r="N23" s="236" t="s">
        <v>1095</v>
      </c>
      <c r="O23" s="236" t="s">
        <v>1076</v>
      </c>
      <c r="P23" s="236" t="s">
        <v>1073</v>
      </c>
      <c r="Q23" s="236" t="s">
        <v>1114</v>
      </c>
      <c r="R23" s="237" t="s">
        <v>1065</v>
      </c>
      <c r="S23" s="1"/>
      <c r="U23" s="231" t="s">
        <v>1034</v>
      </c>
      <c r="V23" s="235" t="s">
        <v>1076</v>
      </c>
      <c r="W23" s="236" t="s">
        <v>1072</v>
      </c>
      <c r="X23" s="236" t="s">
        <v>1094</v>
      </c>
      <c r="Y23" s="236" t="s">
        <v>1072</v>
      </c>
      <c r="Z23" s="236" t="s">
        <v>1100</v>
      </c>
      <c r="AA23" s="236" t="s">
        <v>1071</v>
      </c>
      <c r="AB23" s="236" t="s">
        <v>1075</v>
      </c>
      <c r="AC23" s="236" t="s">
        <v>1073</v>
      </c>
      <c r="AD23" s="236" t="s">
        <v>1110</v>
      </c>
      <c r="AE23" s="236" t="s">
        <v>1075</v>
      </c>
      <c r="AF23" s="236" t="s">
        <v>1113</v>
      </c>
      <c r="AG23" s="236" t="s">
        <v>1095</v>
      </c>
      <c r="AH23" s="236" t="s">
        <v>1076</v>
      </c>
      <c r="AI23" s="236" t="s">
        <v>1073</v>
      </c>
      <c r="AJ23" s="236" t="s">
        <v>1114</v>
      </c>
      <c r="AK23" s="237" t="s">
        <v>1065</v>
      </c>
      <c r="AL23" s="1"/>
    </row>
    <row r="24" spans="2:38" ht="12.75" customHeight="1" x14ac:dyDescent="0.25">
      <c r="B24" s="231" t="s">
        <v>1035</v>
      </c>
      <c r="C24" s="235" t="s">
        <v>1073</v>
      </c>
      <c r="D24" s="236" t="s">
        <v>1073</v>
      </c>
      <c r="E24" s="236" t="s">
        <v>1115</v>
      </c>
      <c r="F24" s="236" t="s">
        <v>1068</v>
      </c>
      <c r="G24" s="236" t="s">
        <v>1116</v>
      </c>
      <c r="H24" s="236" t="s">
        <v>1067</v>
      </c>
      <c r="I24" s="236" t="s">
        <v>1073</v>
      </c>
      <c r="J24" s="236" t="s">
        <v>1073</v>
      </c>
      <c r="K24" s="236" t="s">
        <v>1073</v>
      </c>
      <c r="L24" s="236" t="s">
        <v>1073</v>
      </c>
      <c r="M24" s="236" t="s">
        <v>1073</v>
      </c>
      <c r="N24" s="236" t="s">
        <v>1073</v>
      </c>
      <c r="O24" s="236" t="s">
        <v>1073</v>
      </c>
      <c r="P24" s="236" t="s">
        <v>1073</v>
      </c>
      <c r="Q24" s="236" t="s">
        <v>1103</v>
      </c>
      <c r="R24" s="237" t="s">
        <v>1063</v>
      </c>
      <c r="S24" s="1"/>
      <c r="U24" s="231" t="s">
        <v>1035</v>
      </c>
      <c r="V24" s="235" t="s">
        <v>1073</v>
      </c>
      <c r="W24" s="236" t="s">
        <v>1073</v>
      </c>
      <c r="X24" s="236" t="s">
        <v>1115</v>
      </c>
      <c r="Y24" s="236" t="s">
        <v>1068</v>
      </c>
      <c r="Z24" s="236" t="s">
        <v>1116</v>
      </c>
      <c r="AA24" s="236" t="s">
        <v>1067</v>
      </c>
      <c r="AB24" s="236" t="s">
        <v>1073</v>
      </c>
      <c r="AC24" s="236" t="s">
        <v>1073</v>
      </c>
      <c r="AD24" s="236" t="s">
        <v>1073</v>
      </c>
      <c r="AE24" s="236" t="s">
        <v>1073</v>
      </c>
      <c r="AF24" s="236" t="s">
        <v>1073</v>
      </c>
      <c r="AG24" s="236" t="s">
        <v>1073</v>
      </c>
      <c r="AH24" s="236" t="s">
        <v>1073</v>
      </c>
      <c r="AI24" s="236" t="s">
        <v>1073</v>
      </c>
      <c r="AJ24" s="236" t="s">
        <v>1103</v>
      </c>
      <c r="AK24" s="237" t="s">
        <v>1063</v>
      </c>
      <c r="AL24" s="1"/>
    </row>
    <row r="25" spans="2:38" ht="12.75" customHeight="1" x14ac:dyDescent="0.25">
      <c r="B25" s="231" t="s">
        <v>1036</v>
      </c>
      <c r="C25" s="235" t="s">
        <v>1070</v>
      </c>
      <c r="D25" s="236" t="s">
        <v>1075</v>
      </c>
      <c r="E25" s="236" t="s">
        <v>1071</v>
      </c>
      <c r="F25" s="236" t="s">
        <v>1075</v>
      </c>
      <c r="G25" s="236" t="s">
        <v>1070</v>
      </c>
      <c r="H25" s="236" t="s">
        <v>1073</v>
      </c>
      <c r="I25" s="236" t="s">
        <v>1073</v>
      </c>
      <c r="J25" s="236" t="s">
        <v>1070</v>
      </c>
      <c r="K25" s="236" t="s">
        <v>1073</v>
      </c>
      <c r="L25" s="236" t="s">
        <v>1073</v>
      </c>
      <c r="M25" s="236" t="s">
        <v>1114</v>
      </c>
      <c r="N25" s="236" t="s">
        <v>1117</v>
      </c>
      <c r="O25" s="236" t="s">
        <v>1073</v>
      </c>
      <c r="P25" s="236" t="s">
        <v>1073</v>
      </c>
      <c r="Q25" s="236" t="s">
        <v>1118</v>
      </c>
      <c r="R25" s="237" t="s">
        <v>1085</v>
      </c>
      <c r="S25" s="1"/>
      <c r="U25" s="231" t="s">
        <v>1036</v>
      </c>
      <c r="V25" s="235" t="s">
        <v>1070</v>
      </c>
      <c r="W25" s="236" t="s">
        <v>1075</v>
      </c>
      <c r="X25" s="236" t="s">
        <v>1071</v>
      </c>
      <c r="Y25" s="236" t="s">
        <v>1075</v>
      </c>
      <c r="Z25" s="236" t="s">
        <v>1070</v>
      </c>
      <c r="AA25" s="236" t="s">
        <v>1073</v>
      </c>
      <c r="AB25" s="236" t="s">
        <v>1073</v>
      </c>
      <c r="AC25" s="236" t="s">
        <v>1070</v>
      </c>
      <c r="AD25" s="236" t="s">
        <v>1073</v>
      </c>
      <c r="AE25" s="236" t="s">
        <v>1073</v>
      </c>
      <c r="AF25" s="236" t="s">
        <v>1114</v>
      </c>
      <c r="AG25" s="236" t="s">
        <v>1117</v>
      </c>
      <c r="AH25" s="236" t="s">
        <v>1073</v>
      </c>
      <c r="AI25" s="236" t="s">
        <v>1073</v>
      </c>
      <c r="AJ25" s="236" t="s">
        <v>1118</v>
      </c>
      <c r="AK25" s="237" t="s">
        <v>1085</v>
      </c>
      <c r="AL25" s="1"/>
    </row>
    <row r="26" spans="2:38" ht="12.75" customHeight="1" x14ac:dyDescent="0.25">
      <c r="B26" s="231" t="s">
        <v>1037</v>
      </c>
      <c r="C26" s="235" t="s">
        <v>1070</v>
      </c>
      <c r="D26" s="236" t="s">
        <v>1075</v>
      </c>
      <c r="E26" s="236" t="s">
        <v>1071</v>
      </c>
      <c r="F26" s="236" t="s">
        <v>1075</v>
      </c>
      <c r="G26" s="236" t="s">
        <v>1070</v>
      </c>
      <c r="H26" s="236" t="s">
        <v>1073</v>
      </c>
      <c r="I26" s="236" t="s">
        <v>1073</v>
      </c>
      <c r="J26" s="236" t="s">
        <v>1070</v>
      </c>
      <c r="K26" s="236" t="s">
        <v>1073</v>
      </c>
      <c r="L26" s="236" t="s">
        <v>1073</v>
      </c>
      <c r="M26" s="236" t="s">
        <v>1114</v>
      </c>
      <c r="N26" s="236" t="s">
        <v>1117</v>
      </c>
      <c r="O26" s="236" t="s">
        <v>1073</v>
      </c>
      <c r="P26" s="236" t="s">
        <v>1073</v>
      </c>
      <c r="Q26" s="236" t="s">
        <v>1118</v>
      </c>
      <c r="R26" s="237" t="s">
        <v>1085</v>
      </c>
      <c r="S26" s="1"/>
      <c r="U26" s="231" t="s">
        <v>1037</v>
      </c>
      <c r="V26" s="235" t="s">
        <v>1070</v>
      </c>
      <c r="W26" s="236" t="s">
        <v>1075</v>
      </c>
      <c r="X26" s="236" t="s">
        <v>1071</v>
      </c>
      <c r="Y26" s="236" t="s">
        <v>1075</v>
      </c>
      <c r="Z26" s="236" t="s">
        <v>1070</v>
      </c>
      <c r="AA26" s="236" t="s">
        <v>1073</v>
      </c>
      <c r="AB26" s="236" t="s">
        <v>1073</v>
      </c>
      <c r="AC26" s="236" t="s">
        <v>1070</v>
      </c>
      <c r="AD26" s="236" t="s">
        <v>1073</v>
      </c>
      <c r="AE26" s="236" t="s">
        <v>1073</v>
      </c>
      <c r="AF26" s="236" t="s">
        <v>1114</v>
      </c>
      <c r="AG26" s="236" t="s">
        <v>1117</v>
      </c>
      <c r="AH26" s="236" t="s">
        <v>1073</v>
      </c>
      <c r="AI26" s="236" t="s">
        <v>1073</v>
      </c>
      <c r="AJ26" s="236" t="s">
        <v>1118</v>
      </c>
      <c r="AK26" s="237" t="s">
        <v>1085</v>
      </c>
      <c r="AL26" s="1"/>
    </row>
    <row r="27" spans="2:38" ht="12.75" customHeight="1" x14ac:dyDescent="0.25">
      <c r="B27" s="231" t="s">
        <v>1038</v>
      </c>
      <c r="C27" s="235" t="s">
        <v>1073</v>
      </c>
      <c r="D27" s="236" t="s">
        <v>1079</v>
      </c>
      <c r="E27" s="236" t="s">
        <v>1079</v>
      </c>
      <c r="F27" s="236" t="s">
        <v>1079</v>
      </c>
      <c r="G27" s="236" t="s">
        <v>1079</v>
      </c>
      <c r="H27" s="236" t="s">
        <v>1073</v>
      </c>
      <c r="I27" s="236" t="s">
        <v>1073</v>
      </c>
      <c r="J27" s="236" t="s">
        <v>1079</v>
      </c>
      <c r="K27" s="236" t="s">
        <v>1073</v>
      </c>
      <c r="L27" s="236" t="s">
        <v>1079</v>
      </c>
      <c r="M27" s="236" t="s">
        <v>1079</v>
      </c>
      <c r="N27" s="236" t="s">
        <v>1063</v>
      </c>
      <c r="O27" s="236" t="s">
        <v>1073</v>
      </c>
      <c r="P27" s="236" t="s">
        <v>1073</v>
      </c>
      <c r="Q27" s="236" t="s">
        <v>1080</v>
      </c>
      <c r="R27" s="237" t="s">
        <v>1066</v>
      </c>
      <c r="S27" s="1"/>
      <c r="U27" s="231" t="s">
        <v>1038</v>
      </c>
      <c r="V27" s="235" t="s">
        <v>1073</v>
      </c>
      <c r="W27" s="236" t="s">
        <v>1079</v>
      </c>
      <c r="X27" s="236" t="s">
        <v>1079</v>
      </c>
      <c r="Y27" s="236" t="s">
        <v>1079</v>
      </c>
      <c r="Z27" s="236" t="s">
        <v>1079</v>
      </c>
      <c r="AA27" s="236" t="s">
        <v>1073</v>
      </c>
      <c r="AB27" s="236" t="s">
        <v>1073</v>
      </c>
      <c r="AC27" s="236" t="s">
        <v>1079</v>
      </c>
      <c r="AD27" s="236" t="s">
        <v>1073</v>
      </c>
      <c r="AE27" s="236" t="s">
        <v>1079</v>
      </c>
      <c r="AF27" s="236" t="s">
        <v>1079</v>
      </c>
      <c r="AG27" s="236" t="s">
        <v>1063</v>
      </c>
      <c r="AH27" s="236" t="s">
        <v>1073</v>
      </c>
      <c r="AI27" s="236" t="s">
        <v>1073</v>
      </c>
      <c r="AJ27" s="236" t="s">
        <v>1080</v>
      </c>
      <c r="AK27" s="237" t="s">
        <v>1066</v>
      </c>
      <c r="AL27" s="1"/>
    </row>
    <row r="28" spans="2:38" ht="12.75" customHeight="1" x14ac:dyDescent="0.25">
      <c r="B28" s="231" t="s">
        <v>1039</v>
      </c>
      <c r="C28" s="235" t="s">
        <v>1073</v>
      </c>
      <c r="D28" s="236" t="s">
        <v>1079</v>
      </c>
      <c r="E28" s="236" t="s">
        <v>1079</v>
      </c>
      <c r="F28" s="236" t="s">
        <v>1079</v>
      </c>
      <c r="G28" s="236" t="s">
        <v>1079</v>
      </c>
      <c r="H28" s="236" t="s">
        <v>1073</v>
      </c>
      <c r="I28" s="236" t="s">
        <v>1073</v>
      </c>
      <c r="J28" s="236" t="s">
        <v>1079</v>
      </c>
      <c r="K28" s="236" t="s">
        <v>1073</v>
      </c>
      <c r="L28" s="236" t="s">
        <v>1079</v>
      </c>
      <c r="M28" s="236" t="s">
        <v>1079</v>
      </c>
      <c r="N28" s="236" t="s">
        <v>1063</v>
      </c>
      <c r="O28" s="236" t="s">
        <v>1073</v>
      </c>
      <c r="P28" s="236" t="s">
        <v>1073</v>
      </c>
      <c r="Q28" s="236" t="s">
        <v>1080</v>
      </c>
      <c r="R28" s="237" t="s">
        <v>1066</v>
      </c>
      <c r="S28" s="1"/>
      <c r="U28" s="231" t="s">
        <v>1039</v>
      </c>
      <c r="V28" s="235" t="s">
        <v>1073</v>
      </c>
      <c r="W28" s="236" t="s">
        <v>1079</v>
      </c>
      <c r="X28" s="236" t="s">
        <v>1079</v>
      </c>
      <c r="Y28" s="236" t="s">
        <v>1079</v>
      </c>
      <c r="Z28" s="236" t="s">
        <v>1079</v>
      </c>
      <c r="AA28" s="236" t="s">
        <v>1073</v>
      </c>
      <c r="AB28" s="236" t="s">
        <v>1073</v>
      </c>
      <c r="AC28" s="236" t="s">
        <v>1079</v>
      </c>
      <c r="AD28" s="236" t="s">
        <v>1073</v>
      </c>
      <c r="AE28" s="236" t="s">
        <v>1079</v>
      </c>
      <c r="AF28" s="236" t="s">
        <v>1079</v>
      </c>
      <c r="AG28" s="236" t="s">
        <v>1063</v>
      </c>
      <c r="AH28" s="236" t="s">
        <v>1073</v>
      </c>
      <c r="AI28" s="236" t="s">
        <v>1073</v>
      </c>
      <c r="AJ28" s="236" t="s">
        <v>1080</v>
      </c>
      <c r="AK28" s="237" t="s">
        <v>1066</v>
      </c>
      <c r="AL28" s="1"/>
    </row>
    <row r="29" spans="2:38" ht="12.75" customHeight="1" x14ac:dyDescent="0.25">
      <c r="B29" s="231" t="s">
        <v>1040</v>
      </c>
      <c r="C29" s="235" t="s">
        <v>1070</v>
      </c>
      <c r="D29" s="236" t="s">
        <v>1076</v>
      </c>
      <c r="E29" s="236" t="s">
        <v>1073</v>
      </c>
      <c r="F29" s="236" t="s">
        <v>1073</v>
      </c>
      <c r="G29" s="236" t="s">
        <v>983</v>
      </c>
      <c r="H29" s="236" t="s">
        <v>1119</v>
      </c>
      <c r="I29" s="236" t="s">
        <v>1120</v>
      </c>
      <c r="J29" s="236" t="s">
        <v>1119</v>
      </c>
      <c r="K29" s="236" t="s">
        <v>1064</v>
      </c>
      <c r="L29" s="236" t="s">
        <v>1064</v>
      </c>
      <c r="M29" s="236" t="s">
        <v>1071</v>
      </c>
      <c r="N29" s="236" t="s">
        <v>1073</v>
      </c>
      <c r="O29" s="236" t="s">
        <v>1073</v>
      </c>
      <c r="P29" s="236" t="s">
        <v>1073</v>
      </c>
      <c r="Q29" s="236" t="s">
        <v>1121</v>
      </c>
      <c r="R29" s="237" t="s">
        <v>1085</v>
      </c>
      <c r="S29" s="1"/>
      <c r="U29" s="231" t="s">
        <v>1040</v>
      </c>
      <c r="V29" s="235" t="s">
        <v>1070</v>
      </c>
      <c r="W29" s="236" t="s">
        <v>1076</v>
      </c>
      <c r="X29" s="236" t="s">
        <v>1073</v>
      </c>
      <c r="Y29" s="236" t="s">
        <v>1073</v>
      </c>
      <c r="Z29" s="236" t="s">
        <v>983</v>
      </c>
      <c r="AA29" s="236" t="s">
        <v>1119</v>
      </c>
      <c r="AB29" s="236" t="s">
        <v>1120</v>
      </c>
      <c r="AC29" s="236" t="s">
        <v>1119</v>
      </c>
      <c r="AD29" s="236" t="s">
        <v>1064</v>
      </c>
      <c r="AE29" s="236" t="s">
        <v>1064</v>
      </c>
      <c r="AF29" s="236" t="s">
        <v>1071</v>
      </c>
      <c r="AG29" s="236" t="s">
        <v>1073</v>
      </c>
      <c r="AH29" s="236" t="s">
        <v>1073</v>
      </c>
      <c r="AI29" s="236" t="s">
        <v>1073</v>
      </c>
      <c r="AJ29" s="236" t="s">
        <v>1121</v>
      </c>
      <c r="AK29" s="237" t="s">
        <v>1085</v>
      </c>
      <c r="AL29" s="1"/>
    </row>
    <row r="30" spans="2:38" ht="12.75" customHeight="1" x14ac:dyDescent="0.25">
      <c r="B30" s="231" t="s">
        <v>1041</v>
      </c>
      <c r="C30" s="235" t="s">
        <v>1070</v>
      </c>
      <c r="D30" s="236" t="s">
        <v>1076</v>
      </c>
      <c r="E30" s="236" t="s">
        <v>1073</v>
      </c>
      <c r="F30" s="236" t="s">
        <v>1073</v>
      </c>
      <c r="G30" s="236" t="s">
        <v>983</v>
      </c>
      <c r="H30" s="236" t="s">
        <v>1119</v>
      </c>
      <c r="I30" s="236" t="s">
        <v>1120</v>
      </c>
      <c r="J30" s="236" t="s">
        <v>1119</v>
      </c>
      <c r="K30" s="236" t="s">
        <v>1064</v>
      </c>
      <c r="L30" s="236" t="s">
        <v>1064</v>
      </c>
      <c r="M30" s="236" t="s">
        <v>1071</v>
      </c>
      <c r="N30" s="236" t="s">
        <v>1073</v>
      </c>
      <c r="O30" s="236" t="s">
        <v>1073</v>
      </c>
      <c r="P30" s="236" t="s">
        <v>1073</v>
      </c>
      <c r="Q30" s="236" t="s">
        <v>1121</v>
      </c>
      <c r="R30" s="237" t="s">
        <v>1085</v>
      </c>
      <c r="S30" s="1"/>
      <c r="U30" s="231" t="s">
        <v>1041</v>
      </c>
      <c r="V30" s="235" t="s">
        <v>1070</v>
      </c>
      <c r="W30" s="236" t="s">
        <v>1076</v>
      </c>
      <c r="X30" s="236" t="s">
        <v>1073</v>
      </c>
      <c r="Y30" s="236" t="s">
        <v>1073</v>
      </c>
      <c r="Z30" s="236" t="s">
        <v>983</v>
      </c>
      <c r="AA30" s="236" t="s">
        <v>1119</v>
      </c>
      <c r="AB30" s="236" t="s">
        <v>1120</v>
      </c>
      <c r="AC30" s="236" t="s">
        <v>1119</v>
      </c>
      <c r="AD30" s="236" t="s">
        <v>1064</v>
      </c>
      <c r="AE30" s="236" t="s">
        <v>1064</v>
      </c>
      <c r="AF30" s="236" t="s">
        <v>1071</v>
      </c>
      <c r="AG30" s="236" t="s">
        <v>1073</v>
      </c>
      <c r="AH30" s="236" t="s">
        <v>1073</v>
      </c>
      <c r="AI30" s="236" t="s">
        <v>1073</v>
      </c>
      <c r="AJ30" s="236" t="s">
        <v>1121</v>
      </c>
      <c r="AK30" s="237" t="s">
        <v>1085</v>
      </c>
      <c r="AL30" s="1"/>
    </row>
    <row r="31" spans="2:38" ht="12.75" customHeight="1" x14ac:dyDescent="0.25">
      <c r="B31" s="231" t="s">
        <v>1042</v>
      </c>
      <c r="C31" s="235" t="s">
        <v>1064</v>
      </c>
      <c r="D31" s="236" t="s">
        <v>1089</v>
      </c>
      <c r="E31" s="236" t="s">
        <v>1107</v>
      </c>
      <c r="F31" s="236" t="s">
        <v>1064</v>
      </c>
      <c r="G31" s="236" t="s">
        <v>1122</v>
      </c>
      <c r="H31" s="236" t="s">
        <v>1123</v>
      </c>
      <c r="I31" s="236" t="s">
        <v>1122</v>
      </c>
      <c r="J31" s="236" t="s">
        <v>1082</v>
      </c>
      <c r="K31" s="236" t="s">
        <v>1082</v>
      </c>
      <c r="L31" s="236" t="s">
        <v>1078</v>
      </c>
      <c r="M31" s="236" t="s">
        <v>1078</v>
      </c>
      <c r="N31" s="236" t="s">
        <v>1122</v>
      </c>
      <c r="O31" s="236" t="s">
        <v>1120</v>
      </c>
      <c r="P31" s="236" t="s">
        <v>1071</v>
      </c>
      <c r="Q31" s="236" t="s">
        <v>1124</v>
      </c>
      <c r="R31" s="237" t="s">
        <v>1111</v>
      </c>
      <c r="S31" s="1"/>
      <c r="U31" s="231" t="s">
        <v>1042</v>
      </c>
      <c r="V31" s="235" t="s">
        <v>1064</v>
      </c>
      <c r="W31" s="236" t="s">
        <v>1089</v>
      </c>
      <c r="X31" s="236" t="s">
        <v>1107</v>
      </c>
      <c r="Y31" s="236" t="s">
        <v>1064</v>
      </c>
      <c r="Z31" s="236" t="s">
        <v>1122</v>
      </c>
      <c r="AA31" s="236" t="s">
        <v>1123</v>
      </c>
      <c r="AB31" s="236" t="s">
        <v>1122</v>
      </c>
      <c r="AC31" s="236" t="s">
        <v>1082</v>
      </c>
      <c r="AD31" s="236" t="s">
        <v>1082</v>
      </c>
      <c r="AE31" s="236" t="s">
        <v>1078</v>
      </c>
      <c r="AF31" s="236" t="s">
        <v>1078</v>
      </c>
      <c r="AG31" s="236" t="s">
        <v>1122</v>
      </c>
      <c r="AH31" s="236" t="s">
        <v>1120</v>
      </c>
      <c r="AI31" s="236" t="s">
        <v>1071</v>
      </c>
      <c r="AJ31" s="236" t="s">
        <v>1124</v>
      </c>
      <c r="AK31" s="237" t="s">
        <v>1111</v>
      </c>
      <c r="AL31" s="1"/>
    </row>
    <row r="32" spans="2:38" ht="12.75" customHeight="1" x14ac:dyDescent="0.25">
      <c r="B32" s="231" t="s">
        <v>1043</v>
      </c>
      <c r="C32" s="235" t="s">
        <v>1064</v>
      </c>
      <c r="D32" s="236" t="s">
        <v>1089</v>
      </c>
      <c r="E32" s="236" t="s">
        <v>1107</v>
      </c>
      <c r="F32" s="236" t="s">
        <v>1064</v>
      </c>
      <c r="G32" s="236" t="s">
        <v>1122</v>
      </c>
      <c r="H32" s="236" t="s">
        <v>1123</v>
      </c>
      <c r="I32" s="236" t="s">
        <v>1122</v>
      </c>
      <c r="J32" s="236" t="s">
        <v>1082</v>
      </c>
      <c r="K32" s="236" t="s">
        <v>1082</v>
      </c>
      <c r="L32" s="236" t="s">
        <v>1078</v>
      </c>
      <c r="M32" s="236" t="s">
        <v>1078</v>
      </c>
      <c r="N32" s="236" t="s">
        <v>1122</v>
      </c>
      <c r="O32" s="236" t="s">
        <v>1120</v>
      </c>
      <c r="P32" s="236" t="s">
        <v>1071</v>
      </c>
      <c r="Q32" s="236" t="s">
        <v>1124</v>
      </c>
      <c r="R32" s="237" t="s">
        <v>1111</v>
      </c>
      <c r="S32" s="1"/>
      <c r="U32" s="231" t="s">
        <v>1043</v>
      </c>
      <c r="V32" s="235" t="s">
        <v>1064</v>
      </c>
      <c r="W32" s="236" t="s">
        <v>1089</v>
      </c>
      <c r="X32" s="236" t="s">
        <v>1107</v>
      </c>
      <c r="Y32" s="236" t="s">
        <v>1064</v>
      </c>
      <c r="Z32" s="236" t="s">
        <v>1122</v>
      </c>
      <c r="AA32" s="236" t="s">
        <v>1123</v>
      </c>
      <c r="AB32" s="236" t="s">
        <v>1122</v>
      </c>
      <c r="AC32" s="236" t="s">
        <v>1082</v>
      </c>
      <c r="AD32" s="236" t="s">
        <v>1082</v>
      </c>
      <c r="AE32" s="236" t="s">
        <v>1078</v>
      </c>
      <c r="AF32" s="236" t="s">
        <v>1078</v>
      </c>
      <c r="AG32" s="236" t="s">
        <v>1122</v>
      </c>
      <c r="AH32" s="236" t="s">
        <v>1120</v>
      </c>
      <c r="AI32" s="236" t="s">
        <v>1071</v>
      </c>
      <c r="AJ32" s="236" t="s">
        <v>1124</v>
      </c>
      <c r="AK32" s="237" t="s">
        <v>1111</v>
      </c>
      <c r="AL32" s="1"/>
    </row>
    <row r="33" spans="2:38" ht="12.75" customHeight="1" x14ac:dyDescent="0.25">
      <c r="B33" s="231" t="s">
        <v>1044</v>
      </c>
      <c r="C33" s="235" t="s">
        <v>1119</v>
      </c>
      <c r="D33" s="236" t="s">
        <v>1064</v>
      </c>
      <c r="E33" s="236" t="s">
        <v>1082</v>
      </c>
      <c r="F33" s="236" t="s">
        <v>1064</v>
      </c>
      <c r="G33" s="236" t="s">
        <v>1069</v>
      </c>
      <c r="H33" s="236" t="s">
        <v>1099</v>
      </c>
      <c r="I33" s="236" t="s">
        <v>1125</v>
      </c>
      <c r="J33" s="236" t="s">
        <v>1125</v>
      </c>
      <c r="K33" s="236" t="s">
        <v>1069</v>
      </c>
      <c r="L33" s="236" t="s">
        <v>1098</v>
      </c>
      <c r="M33" s="236" t="s">
        <v>1126</v>
      </c>
      <c r="N33" s="236" t="s">
        <v>1077</v>
      </c>
      <c r="O33" s="236" t="s">
        <v>1078</v>
      </c>
      <c r="P33" s="236" t="s">
        <v>1071</v>
      </c>
      <c r="Q33" s="236" t="s">
        <v>1127</v>
      </c>
      <c r="R33" s="237" t="s">
        <v>1111</v>
      </c>
      <c r="S33" s="1"/>
      <c r="U33" s="231" t="s">
        <v>1044</v>
      </c>
      <c r="V33" s="235" t="s">
        <v>1119</v>
      </c>
      <c r="W33" s="236" t="s">
        <v>1064</v>
      </c>
      <c r="X33" s="236" t="s">
        <v>1082</v>
      </c>
      <c r="Y33" s="236" t="s">
        <v>1064</v>
      </c>
      <c r="Z33" s="236" t="s">
        <v>1069</v>
      </c>
      <c r="AA33" s="236" t="s">
        <v>1099</v>
      </c>
      <c r="AB33" s="236" t="s">
        <v>1125</v>
      </c>
      <c r="AC33" s="236" t="s">
        <v>1125</v>
      </c>
      <c r="AD33" s="236" t="s">
        <v>1069</v>
      </c>
      <c r="AE33" s="236" t="s">
        <v>1098</v>
      </c>
      <c r="AF33" s="236" t="s">
        <v>1126</v>
      </c>
      <c r="AG33" s="236" t="s">
        <v>1077</v>
      </c>
      <c r="AH33" s="236" t="s">
        <v>1078</v>
      </c>
      <c r="AI33" s="236" t="s">
        <v>1071</v>
      </c>
      <c r="AJ33" s="236" t="s">
        <v>1127</v>
      </c>
      <c r="AK33" s="237" t="s">
        <v>1111</v>
      </c>
      <c r="AL33" s="1"/>
    </row>
    <row r="34" spans="2:38" ht="12.75" customHeight="1" x14ac:dyDescent="0.25">
      <c r="B34" s="231" t="s">
        <v>1045</v>
      </c>
      <c r="C34" s="235" t="s">
        <v>1119</v>
      </c>
      <c r="D34" s="236" t="s">
        <v>1064</v>
      </c>
      <c r="E34" s="236" t="s">
        <v>1082</v>
      </c>
      <c r="F34" s="236" t="s">
        <v>1064</v>
      </c>
      <c r="G34" s="236" t="s">
        <v>1069</v>
      </c>
      <c r="H34" s="236" t="s">
        <v>1099</v>
      </c>
      <c r="I34" s="236" t="s">
        <v>1125</v>
      </c>
      <c r="J34" s="236" t="s">
        <v>1125</v>
      </c>
      <c r="K34" s="236" t="s">
        <v>1069</v>
      </c>
      <c r="L34" s="236" t="s">
        <v>1098</v>
      </c>
      <c r="M34" s="236" t="s">
        <v>1126</v>
      </c>
      <c r="N34" s="236" t="s">
        <v>1077</v>
      </c>
      <c r="O34" s="236" t="s">
        <v>1078</v>
      </c>
      <c r="P34" s="236" t="s">
        <v>1071</v>
      </c>
      <c r="Q34" s="236" t="s">
        <v>1127</v>
      </c>
      <c r="R34" s="237" t="s">
        <v>1111</v>
      </c>
      <c r="S34" s="1"/>
      <c r="U34" s="231" t="s">
        <v>1045</v>
      </c>
      <c r="V34" s="235" t="s">
        <v>1119</v>
      </c>
      <c r="W34" s="236" t="s">
        <v>1064</v>
      </c>
      <c r="X34" s="236" t="s">
        <v>1082</v>
      </c>
      <c r="Y34" s="236" t="s">
        <v>1064</v>
      </c>
      <c r="Z34" s="236" t="s">
        <v>1069</v>
      </c>
      <c r="AA34" s="236" t="s">
        <v>1099</v>
      </c>
      <c r="AB34" s="236" t="s">
        <v>1125</v>
      </c>
      <c r="AC34" s="236" t="s">
        <v>1125</v>
      </c>
      <c r="AD34" s="236" t="s">
        <v>1069</v>
      </c>
      <c r="AE34" s="236" t="s">
        <v>1098</v>
      </c>
      <c r="AF34" s="236" t="s">
        <v>1126</v>
      </c>
      <c r="AG34" s="236" t="s">
        <v>1077</v>
      </c>
      <c r="AH34" s="236" t="s">
        <v>1078</v>
      </c>
      <c r="AI34" s="236" t="s">
        <v>1071</v>
      </c>
      <c r="AJ34" s="236" t="s">
        <v>1127</v>
      </c>
      <c r="AK34" s="237" t="s">
        <v>1111</v>
      </c>
      <c r="AL34" s="1"/>
    </row>
    <row r="35" spans="2:38" ht="12.75" customHeight="1" x14ac:dyDescent="0.25">
      <c r="B35" s="231" t="s">
        <v>1046</v>
      </c>
      <c r="C35" s="235" t="s">
        <v>1073</v>
      </c>
      <c r="D35" s="236" t="s">
        <v>1073</v>
      </c>
      <c r="E35" s="236" t="s">
        <v>1128</v>
      </c>
      <c r="F35" s="236" t="s">
        <v>1128</v>
      </c>
      <c r="G35" s="236" t="s">
        <v>1118</v>
      </c>
      <c r="H35" s="236" t="s">
        <v>1111</v>
      </c>
      <c r="I35" s="236" t="s">
        <v>1073</v>
      </c>
      <c r="J35" s="236" t="s">
        <v>1073</v>
      </c>
      <c r="K35" s="236" t="s">
        <v>1073</v>
      </c>
      <c r="L35" s="236" t="s">
        <v>1073</v>
      </c>
      <c r="M35" s="236" t="s">
        <v>1073</v>
      </c>
      <c r="N35" s="236" t="s">
        <v>1073</v>
      </c>
      <c r="O35" s="236" t="s">
        <v>1073</v>
      </c>
      <c r="P35" s="236" t="s">
        <v>1073</v>
      </c>
      <c r="Q35" s="236" t="s">
        <v>1129</v>
      </c>
      <c r="R35" s="237" t="s">
        <v>1129</v>
      </c>
      <c r="S35" s="1"/>
      <c r="U35" s="231" t="s">
        <v>1046</v>
      </c>
      <c r="V35" s="235" t="s">
        <v>1073</v>
      </c>
      <c r="W35" s="236" t="s">
        <v>1073</v>
      </c>
      <c r="X35" s="236" t="s">
        <v>1128</v>
      </c>
      <c r="Y35" s="236" t="s">
        <v>1128</v>
      </c>
      <c r="Z35" s="236" t="s">
        <v>1118</v>
      </c>
      <c r="AA35" s="236" t="s">
        <v>1111</v>
      </c>
      <c r="AB35" s="236" t="s">
        <v>1073</v>
      </c>
      <c r="AC35" s="236" t="s">
        <v>1073</v>
      </c>
      <c r="AD35" s="236" t="s">
        <v>1073</v>
      </c>
      <c r="AE35" s="236" t="s">
        <v>1073</v>
      </c>
      <c r="AF35" s="236" t="s">
        <v>1073</v>
      </c>
      <c r="AG35" s="236" t="s">
        <v>1073</v>
      </c>
      <c r="AH35" s="236" t="s">
        <v>1073</v>
      </c>
      <c r="AI35" s="236" t="s">
        <v>1073</v>
      </c>
      <c r="AJ35" s="236" t="s">
        <v>1129</v>
      </c>
      <c r="AK35" s="237" t="s">
        <v>1129</v>
      </c>
      <c r="AL35" s="1"/>
    </row>
    <row r="36" spans="2:38" ht="12.75" customHeight="1" x14ac:dyDescent="0.25">
      <c r="B36" s="231" t="s">
        <v>1047</v>
      </c>
      <c r="C36" s="235" t="s">
        <v>1063</v>
      </c>
      <c r="D36" s="236" t="s">
        <v>1063</v>
      </c>
      <c r="E36" s="236" t="s">
        <v>1063</v>
      </c>
      <c r="F36" s="236" t="s">
        <v>1063</v>
      </c>
      <c r="G36" s="236" t="s">
        <v>1063</v>
      </c>
      <c r="H36" s="236" t="s">
        <v>1063</v>
      </c>
      <c r="I36" s="236" t="s">
        <v>1063</v>
      </c>
      <c r="J36" s="236" t="s">
        <v>1063</v>
      </c>
      <c r="K36" s="236" t="s">
        <v>1063</v>
      </c>
      <c r="L36" s="236" t="s">
        <v>1063</v>
      </c>
      <c r="M36" s="236" t="s">
        <v>1063</v>
      </c>
      <c r="N36" s="236" t="s">
        <v>1063</v>
      </c>
      <c r="O36" s="236" t="s">
        <v>1063</v>
      </c>
      <c r="P36" s="236" t="s">
        <v>1063</v>
      </c>
      <c r="Q36" s="236" t="s">
        <v>1063</v>
      </c>
      <c r="R36" s="237" t="s">
        <v>1063</v>
      </c>
      <c r="S36" s="1"/>
      <c r="U36" s="231" t="s">
        <v>1047</v>
      </c>
      <c r="V36" s="235" t="s">
        <v>1063</v>
      </c>
      <c r="W36" s="236" t="s">
        <v>1063</v>
      </c>
      <c r="X36" s="236" t="s">
        <v>1063</v>
      </c>
      <c r="Y36" s="236" t="s">
        <v>1063</v>
      </c>
      <c r="Z36" s="236" t="s">
        <v>1063</v>
      </c>
      <c r="AA36" s="236" t="s">
        <v>1063</v>
      </c>
      <c r="AB36" s="236" t="s">
        <v>1063</v>
      </c>
      <c r="AC36" s="236" t="s">
        <v>1063</v>
      </c>
      <c r="AD36" s="236" t="s">
        <v>1063</v>
      </c>
      <c r="AE36" s="236" t="s">
        <v>1063</v>
      </c>
      <c r="AF36" s="236" t="s">
        <v>1063</v>
      </c>
      <c r="AG36" s="236" t="s">
        <v>1063</v>
      </c>
      <c r="AH36" s="236" t="s">
        <v>1063</v>
      </c>
      <c r="AI36" s="236" t="s">
        <v>1063</v>
      </c>
      <c r="AJ36" s="236" t="s">
        <v>1063</v>
      </c>
      <c r="AK36" s="237" t="s">
        <v>1063</v>
      </c>
      <c r="AL36" s="1"/>
    </row>
    <row r="37" spans="2:38" ht="12.75" customHeight="1" x14ac:dyDescent="0.25">
      <c r="B37" s="231" t="s">
        <v>1048</v>
      </c>
      <c r="C37" s="235" t="s">
        <v>1063</v>
      </c>
      <c r="D37" s="236" t="s">
        <v>1063</v>
      </c>
      <c r="E37" s="236" t="s">
        <v>1063</v>
      </c>
      <c r="F37" s="236" t="s">
        <v>1063</v>
      </c>
      <c r="G37" s="236" t="s">
        <v>1063</v>
      </c>
      <c r="H37" s="236" t="s">
        <v>1063</v>
      </c>
      <c r="I37" s="236" t="s">
        <v>1063</v>
      </c>
      <c r="J37" s="236" t="s">
        <v>1063</v>
      </c>
      <c r="K37" s="236" t="s">
        <v>1063</v>
      </c>
      <c r="L37" s="236" t="s">
        <v>1063</v>
      </c>
      <c r="M37" s="236" t="s">
        <v>1063</v>
      </c>
      <c r="N37" s="236" t="s">
        <v>1063</v>
      </c>
      <c r="O37" s="236" t="s">
        <v>1063</v>
      </c>
      <c r="P37" s="236" t="s">
        <v>1063</v>
      </c>
      <c r="Q37" s="236" t="s">
        <v>1063</v>
      </c>
      <c r="R37" s="237" t="s">
        <v>1063</v>
      </c>
      <c r="S37" s="1"/>
      <c r="U37" s="231" t="s">
        <v>1048</v>
      </c>
      <c r="V37" s="235" t="s">
        <v>1063</v>
      </c>
      <c r="W37" s="236" t="s">
        <v>1063</v>
      </c>
      <c r="X37" s="236" t="s">
        <v>1063</v>
      </c>
      <c r="Y37" s="236" t="s">
        <v>1063</v>
      </c>
      <c r="Z37" s="236" t="s">
        <v>1063</v>
      </c>
      <c r="AA37" s="236" t="s">
        <v>1063</v>
      </c>
      <c r="AB37" s="236" t="s">
        <v>1063</v>
      </c>
      <c r="AC37" s="236" t="s">
        <v>1063</v>
      </c>
      <c r="AD37" s="236" t="s">
        <v>1063</v>
      </c>
      <c r="AE37" s="236" t="s">
        <v>1063</v>
      </c>
      <c r="AF37" s="236" t="s">
        <v>1063</v>
      </c>
      <c r="AG37" s="236" t="s">
        <v>1063</v>
      </c>
      <c r="AH37" s="236" t="s">
        <v>1063</v>
      </c>
      <c r="AI37" s="236" t="s">
        <v>1063</v>
      </c>
      <c r="AJ37" s="236" t="s">
        <v>1063</v>
      </c>
      <c r="AK37" s="237" t="s">
        <v>1063</v>
      </c>
      <c r="AL37" s="1"/>
    </row>
    <row r="38" spans="2:38" ht="12.75" customHeight="1" x14ac:dyDescent="0.25">
      <c r="B38" s="231" t="s">
        <v>1049</v>
      </c>
      <c r="C38" s="235" t="s">
        <v>1063</v>
      </c>
      <c r="D38" s="236" t="s">
        <v>1063</v>
      </c>
      <c r="E38" s="236" t="s">
        <v>1063</v>
      </c>
      <c r="F38" s="236" t="s">
        <v>1063</v>
      </c>
      <c r="G38" s="236" t="s">
        <v>1063</v>
      </c>
      <c r="H38" s="236" t="s">
        <v>1063</v>
      </c>
      <c r="I38" s="236" t="s">
        <v>1063</v>
      </c>
      <c r="J38" s="236" t="s">
        <v>1063</v>
      </c>
      <c r="K38" s="236" t="s">
        <v>1063</v>
      </c>
      <c r="L38" s="236" t="s">
        <v>1063</v>
      </c>
      <c r="M38" s="236" t="s">
        <v>1063</v>
      </c>
      <c r="N38" s="236" t="s">
        <v>1063</v>
      </c>
      <c r="O38" s="236" t="s">
        <v>1063</v>
      </c>
      <c r="P38" s="236" t="s">
        <v>1063</v>
      </c>
      <c r="Q38" s="236" t="s">
        <v>1063</v>
      </c>
      <c r="R38" s="237" t="s">
        <v>1063</v>
      </c>
      <c r="S38" s="1"/>
      <c r="U38" s="231" t="s">
        <v>1049</v>
      </c>
      <c r="V38" s="235" t="s">
        <v>1063</v>
      </c>
      <c r="W38" s="236" t="s">
        <v>1063</v>
      </c>
      <c r="X38" s="236" t="s">
        <v>1063</v>
      </c>
      <c r="Y38" s="236" t="s">
        <v>1063</v>
      </c>
      <c r="Z38" s="236" t="s">
        <v>1063</v>
      </c>
      <c r="AA38" s="236" t="s">
        <v>1063</v>
      </c>
      <c r="AB38" s="236" t="s">
        <v>1063</v>
      </c>
      <c r="AC38" s="236" t="s">
        <v>1063</v>
      </c>
      <c r="AD38" s="236" t="s">
        <v>1063</v>
      </c>
      <c r="AE38" s="236" t="s">
        <v>1063</v>
      </c>
      <c r="AF38" s="236" t="s">
        <v>1063</v>
      </c>
      <c r="AG38" s="236" t="s">
        <v>1063</v>
      </c>
      <c r="AH38" s="236" t="s">
        <v>1063</v>
      </c>
      <c r="AI38" s="236" t="s">
        <v>1063</v>
      </c>
      <c r="AJ38" s="236" t="s">
        <v>1063</v>
      </c>
      <c r="AK38" s="237" t="s">
        <v>1063</v>
      </c>
      <c r="AL38" s="1"/>
    </row>
    <row r="39" spans="2:38" ht="12.75" customHeight="1" x14ac:dyDescent="0.25">
      <c r="B39" s="231" t="s">
        <v>1050</v>
      </c>
      <c r="C39" s="235" t="s">
        <v>1071</v>
      </c>
      <c r="D39" s="236" t="s">
        <v>1076</v>
      </c>
      <c r="E39" s="236" t="s">
        <v>1073</v>
      </c>
      <c r="F39" s="236" t="s">
        <v>1073</v>
      </c>
      <c r="G39" s="236" t="s">
        <v>1073</v>
      </c>
      <c r="H39" s="236" t="s">
        <v>1073</v>
      </c>
      <c r="I39" s="236" t="s">
        <v>1073</v>
      </c>
      <c r="J39" s="236" t="s">
        <v>1073</v>
      </c>
      <c r="K39" s="236" t="s">
        <v>1073</v>
      </c>
      <c r="L39" s="236" t="s">
        <v>1073</v>
      </c>
      <c r="M39" s="236" t="s">
        <v>1073</v>
      </c>
      <c r="N39" s="236" t="s">
        <v>1073</v>
      </c>
      <c r="O39" s="236" t="s">
        <v>1073</v>
      </c>
      <c r="P39" s="236" t="s">
        <v>1073</v>
      </c>
      <c r="Q39" s="236" t="s">
        <v>1130</v>
      </c>
      <c r="R39" s="237" t="s">
        <v>1063</v>
      </c>
      <c r="S39" s="1"/>
      <c r="U39" s="231" t="s">
        <v>1050</v>
      </c>
      <c r="V39" s="235" t="s">
        <v>1071</v>
      </c>
      <c r="W39" s="236" t="s">
        <v>1076</v>
      </c>
      <c r="X39" s="236" t="s">
        <v>1073</v>
      </c>
      <c r="Y39" s="236" t="s">
        <v>1073</v>
      </c>
      <c r="Z39" s="236" t="s">
        <v>1073</v>
      </c>
      <c r="AA39" s="236" t="s">
        <v>1073</v>
      </c>
      <c r="AB39" s="236" t="s">
        <v>1073</v>
      </c>
      <c r="AC39" s="236" t="s">
        <v>1073</v>
      </c>
      <c r="AD39" s="236" t="s">
        <v>1073</v>
      </c>
      <c r="AE39" s="236" t="s">
        <v>1073</v>
      </c>
      <c r="AF39" s="236" t="s">
        <v>1073</v>
      </c>
      <c r="AG39" s="236" t="s">
        <v>1073</v>
      </c>
      <c r="AH39" s="236" t="s">
        <v>1073</v>
      </c>
      <c r="AI39" s="236" t="s">
        <v>1073</v>
      </c>
      <c r="AJ39" s="236" t="s">
        <v>1130</v>
      </c>
      <c r="AK39" s="237" t="s">
        <v>1063</v>
      </c>
      <c r="AL39" s="1"/>
    </row>
    <row r="40" spans="2:38" ht="12.75" customHeight="1" x14ac:dyDescent="0.25">
      <c r="B40" s="231" t="s">
        <v>1051</v>
      </c>
      <c r="C40" s="235" t="s">
        <v>1073</v>
      </c>
      <c r="D40" s="236" t="s">
        <v>1073</v>
      </c>
      <c r="E40" s="236" t="s">
        <v>1073</v>
      </c>
      <c r="F40" s="236" t="s">
        <v>1073</v>
      </c>
      <c r="G40" s="236" t="s">
        <v>1073</v>
      </c>
      <c r="H40" s="236" t="s">
        <v>1073</v>
      </c>
      <c r="I40" s="236" t="s">
        <v>1073</v>
      </c>
      <c r="J40" s="236" t="s">
        <v>1073</v>
      </c>
      <c r="K40" s="236" t="s">
        <v>1073</v>
      </c>
      <c r="L40" s="236" t="s">
        <v>1073</v>
      </c>
      <c r="M40" s="236" t="s">
        <v>1073</v>
      </c>
      <c r="N40" s="236" t="s">
        <v>1073</v>
      </c>
      <c r="O40" s="236" t="s">
        <v>1073</v>
      </c>
      <c r="P40" s="236" t="s">
        <v>1073</v>
      </c>
      <c r="Q40" s="236" t="s">
        <v>1131</v>
      </c>
      <c r="R40" s="237" t="s">
        <v>1063</v>
      </c>
      <c r="S40" s="1"/>
      <c r="U40" s="231" t="s">
        <v>1051</v>
      </c>
      <c r="V40" s="235" t="s">
        <v>1073</v>
      </c>
      <c r="W40" s="236" t="s">
        <v>1073</v>
      </c>
      <c r="X40" s="236" t="s">
        <v>1073</v>
      </c>
      <c r="Y40" s="236" t="s">
        <v>1073</v>
      </c>
      <c r="Z40" s="236" t="s">
        <v>1073</v>
      </c>
      <c r="AA40" s="236" t="s">
        <v>1073</v>
      </c>
      <c r="AB40" s="236" t="s">
        <v>1073</v>
      </c>
      <c r="AC40" s="236" t="s">
        <v>1073</v>
      </c>
      <c r="AD40" s="236" t="s">
        <v>1073</v>
      </c>
      <c r="AE40" s="236" t="s">
        <v>1073</v>
      </c>
      <c r="AF40" s="236" t="s">
        <v>1073</v>
      </c>
      <c r="AG40" s="236" t="s">
        <v>1073</v>
      </c>
      <c r="AH40" s="236" t="s">
        <v>1073</v>
      </c>
      <c r="AI40" s="236" t="s">
        <v>1073</v>
      </c>
      <c r="AJ40" s="236" t="s">
        <v>1131</v>
      </c>
      <c r="AK40" s="237" t="s">
        <v>1063</v>
      </c>
      <c r="AL40" s="1"/>
    </row>
    <row r="41" spans="2:38" ht="12.75" customHeight="1" x14ac:dyDescent="0.25">
      <c r="B41" s="231" t="s">
        <v>1052</v>
      </c>
      <c r="C41" s="235" t="s">
        <v>1073</v>
      </c>
      <c r="D41" s="236" t="s">
        <v>1073</v>
      </c>
      <c r="E41" s="236" t="s">
        <v>1073</v>
      </c>
      <c r="F41" s="236" t="s">
        <v>1073</v>
      </c>
      <c r="G41" s="236" t="s">
        <v>1073</v>
      </c>
      <c r="H41" s="236" t="s">
        <v>1073</v>
      </c>
      <c r="I41" s="236" t="s">
        <v>1073</v>
      </c>
      <c r="J41" s="236" t="s">
        <v>1073</v>
      </c>
      <c r="K41" s="236" t="s">
        <v>1073</v>
      </c>
      <c r="L41" s="236" t="s">
        <v>1073</v>
      </c>
      <c r="M41" s="236" t="s">
        <v>1073</v>
      </c>
      <c r="N41" s="236" t="s">
        <v>1073</v>
      </c>
      <c r="O41" s="236" t="s">
        <v>1073</v>
      </c>
      <c r="P41" s="236" t="s">
        <v>1073</v>
      </c>
      <c r="Q41" s="236" t="s">
        <v>1132</v>
      </c>
      <c r="R41" s="237" t="s">
        <v>1063</v>
      </c>
      <c r="S41" s="1"/>
      <c r="U41" s="231" t="s">
        <v>1052</v>
      </c>
      <c r="V41" s="235" t="s">
        <v>1073</v>
      </c>
      <c r="W41" s="236" t="s">
        <v>1073</v>
      </c>
      <c r="X41" s="236" t="s">
        <v>1073</v>
      </c>
      <c r="Y41" s="236" t="s">
        <v>1073</v>
      </c>
      <c r="Z41" s="236" t="s">
        <v>1073</v>
      </c>
      <c r="AA41" s="236" t="s">
        <v>1073</v>
      </c>
      <c r="AB41" s="236" t="s">
        <v>1073</v>
      </c>
      <c r="AC41" s="236" t="s">
        <v>1073</v>
      </c>
      <c r="AD41" s="236" t="s">
        <v>1073</v>
      </c>
      <c r="AE41" s="236" t="s">
        <v>1073</v>
      </c>
      <c r="AF41" s="236" t="s">
        <v>1073</v>
      </c>
      <c r="AG41" s="236" t="s">
        <v>1073</v>
      </c>
      <c r="AH41" s="236" t="s">
        <v>1073</v>
      </c>
      <c r="AI41" s="236" t="s">
        <v>1073</v>
      </c>
      <c r="AJ41" s="236" t="s">
        <v>1132</v>
      </c>
      <c r="AK41" s="237" t="s">
        <v>1063</v>
      </c>
      <c r="AL41" s="1"/>
    </row>
    <row r="42" spans="2:38" ht="12.75" customHeight="1" x14ac:dyDescent="0.25">
      <c r="B42" s="231" t="s">
        <v>1053</v>
      </c>
      <c r="C42" s="235" t="s">
        <v>1121</v>
      </c>
      <c r="D42" s="236" t="s">
        <v>1133</v>
      </c>
      <c r="E42" s="236" t="s">
        <v>1073</v>
      </c>
      <c r="F42" s="236" t="s">
        <v>1073</v>
      </c>
      <c r="G42" s="236" t="s">
        <v>1073</v>
      </c>
      <c r="H42" s="236" t="s">
        <v>1073</v>
      </c>
      <c r="I42" s="236" t="s">
        <v>1073</v>
      </c>
      <c r="J42" s="236" t="s">
        <v>1073</v>
      </c>
      <c r="K42" s="236" t="s">
        <v>1073</v>
      </c>
      <c r="L42" s="236" t="s">
        <v>1073</v>
      </c>
      <c r="M42" s="236" t="s">
        <v>1073</v>
      </c>
      <c r="N42" s="236" t="s">
        <v>1073</v>
      </c>
      <c r="O42" s="236" t="s">
        <v>1073</v>
      </c>
      <c r="P42" s="236" t="s">
        <v>1073</v>
      </c>
      <c r="Q42" s="236" t="s">
        <v>1134</v>
      </c>
      <c r="R42" s="237" t="s">
        <v>1063</v>
      </c>
      <c r="S42" s="1"/>
      <c r="U42" s="231" t="s">
        <v>1053</v>
      </c>
      <c r="V42" s="235" t="s">
        <v>1121</v>
      </c>
      <c r="W42" s="236" t="s">
        <v>1133</v>
      </c>
      <c r="X42" s="236" t="s">
        <v>1073</v>
      </c>
      <c r="Y42" s="236" t="s">
        <v>1073</v>
      </c>
      <c r="Z42" s="236" t="s">
        <v>1073</v>
      </c>
      <c r="AA42" s="236" t="s">
        <v>1073</v>
      </c>
      <c r="AB42" s="236" t="s">
        <v>1073</v>
      </c>
      <c r="AC42" s="236" t="s">
        <v>1073</v>
      </c>
      <c r="AD42" s="236" t="s">
        <v>1073</v>
      </c>
      <c r="AE42" s="236" t="s">
        <v>1073</v>
      </c>
      <c r="AF42" s="236" t="s">
        <v>1073</v>
      </c>
      <c r="AG42" s="236" t="s">
        <v>1073</v>
      </c>
      <c r="AH42" s="236" t="s">
        <v>1073</v>
      </c>
      <c r="AI42" s="236" t="s">
        <v>1073</v>
      </c>
      <c r="AJ42" s="236" t="s">
        <v>1134</v>
      </c>
      <c r="AK42" s="237" t="s">
        <v>1063</v>
      </c>
      <c r="AL42" s="1"/>
    </row>
    <row r="43" spans="2:38" ht="12.75" customHeight="1" x14ac:dyDescent="0.25">
      <c r="B43" s="231" t="s">
        <v>1054</v>
      </c>
      <c r="C43" s="235" t="s">
        <v>1073</v>
      </c>
      <c r="D43" s="236" t="s">
        <v>1073</v>
      </c>
      <c r="E43" s="236" t="s">
        <v>1073</v>
      </c>
      <c r="F43" s="236" t="s">
        <v>1073</v>
      </c>
      <c r="G43" s="236" t="s">
        <v>1073</v>
      </c>
      <c r="H43" s="236" t="s">
        <v>1073</v>
      </c>
      <c r="I43" s="236" t="s">
        <v>1073</v>
      </c>
      <c r="J43" s="236" t="s">
        <v>1073</v>
      </c>
      <c r="K43" s="236" t="s">
        <v>1073</v>
      </c>
      <c r="L43" s="236" t="s">
        <v>1073</v>
      </c>
      <c r="M43" s="236" t="s">
        <v>1073</v>
      </c>
      <c r="N43" s="236" t="s">
        <v>1073</v>
      </c>
      <c r="O43" s="236" t="s">
        <v>1073</v>
      </c>
      <c r="P43" s="236" t="s">
        <v>1073</v>
      </c>
      <c r="Q43" s="236" t="s">
        <v>1135</v>
      </c>
      <c r="R43" s="237" t="s">
        <v>1063</v>
      </c>
      <c r="S43" s="1"/>
      <c r="U43" s="231" t="s">
        <v>1054</v>
      </c>
      <c r="V43" s="235" t="s">
        <v>1073</v>
      </c>
      <c r="W43" s="236" t="s">
        <v>1073</v>
      </c>
      <c r="X43" s="236" t="s">
        <v>1073</v>
      </c>
      <c r="Y43" s="236" t="s">
        <v>1073</v>
      </c>
      <c r="Z43" s="236" t="s">
        <v>1073</v>
      </c>
      <c r="AA43" s="236" t="s">
        <v>1073</v>
      </c>
      <c r="AB43" s="236" t="s">
        <v>1073</v>
      </c>
      <c r="AC43" s="236" t="s">
        <v>1073</v>
      </c>
      <c r="AD43" s="236" t="s">
        <v>1073</v>
      </c>
      <c r="AE43" s="236" t="s">
        <v>1073</v>
      </c>
      <c r="AF43" s="236" t="s">
        <v>1073</v>
      </c>
      <c r="AG43" s="236" t="s">
        <v>1073</v>
      </c>
      <c r="AH43" s="236" t="s">
        <v>1073</v>
      </c>
      <c r="AI43" s="236" t="s">
        <v>1073</v>
      </c>
      <c r="AJ43" s="236" t="s">
        <v>1135</v>
      </c>
      <c r="AK43" s="237" t="s">
        <v>1063</v>
      </c>
      <c r="AL43" s="1"/>
    </row>
    <row r="44" spans="2:38" ht="12.75" customHeight="1" x14ac:dyDescent="0.25">
      <c r="B44" s="231" t="s">
        <v>1055</v>
      </c>
      <c r="C44" s="235" t="s">
        <v>1073</v>
      </c>
      <c r="D44" s="236" t="s">
        <v>1073</v>
      </c>
      <c r="E44" s="236" t="s">
        <v>1073</v>
      </c>
      <c r="F44" s="236" t="s">
        <v>1073</v>
      </c>
      <c r="G44" s="236" t="s">
        <v>1073</v>
      </c>
      <c r="H44" s="236" t="s">
        <v>1073</v>
      </c>
      <c r="I44" s="236" t="s">
        <v>1073</v>
      </c>
      <c r="J44" s="236" t="s">
        <v>1073</v>
      </c>
      <c r="K44" s="236" t="s">
        <v>1073</v>
      </c>
      <c r="L44" s="236" t="s">
        <v>1073</v>
      </c>
      <c r="M44" s="236" t="s">
        <v>1073</v>
      </c>
      <c r="N44" s="236" t="s">
        <v>1073</v>
      </c>
      <c r="O44" s="236" t="s">
        <v>1073</v>
      </c>
      <c r="P44" s="236" t="s">
        <v>1073</v>
      </c>
      <c r="Q44" s="236" t="s">
        <v>1136</v>
      </c>
      <c r="R44" s="237" t="s">
        <v>1063</v>
      </c>
      <c r="S44" s="1"/>
      <c r="U44" s="231" t="s">
        <v>1055</v>
      </c>
      <c r="V44" s="235" t="s">
        <v>1073</v>
      </c>
      <c r="W44" s="236" t="s">
        <v>1073</v>
      </c>
      <c r="X44" s="236" t="s">
        <v>1073</v>
      </c>
      <c r="Y44" s="236" t="s">
        <v>1073</v>
      </c>
      <c r="Z44" s="236" t="s">
        <v>1073</v>
      </c>
      <c r="AA44" s="236" t="s">
        <v>1073</v>
      </c>
      <c r="AB44" s="236" t="s">
        <v>1073</v>
      </c>
      <c r="AC44" s="236" t="s">
        <v>1073</v>
      </c>
      <c r="AD44" s="236" t="s">
        <v>1073</v>
      </c>
      <c r="AE44" s="236" t="s">
        <v>1073</v>
      </c>
      <c r="AF44" s="236" t="s">
        <v>1073</v>
      </c>
      <c r="AG44" s="236" t="s">
        <v>1073</v>
      </c>
      <c r="AH44" s="236" t="s">
        <v>1073</v>
      </c>
      <c r="AI44" s="236" t="s">
        <v>1073</v>
      </c>
      <c r="AJ44" s="236" t="s">
        <v>1136</v>
      </c>
      <c r="AK44" s="237" t="s">
        <v>1063</v>
      </c>
      <c r="AL44" s="1"/>
    </row>
    <row r="45" spans="2:38" ht="12.75" customHeight="1" x14ac:dyDescent="0.25">
      <c r="B45" s="231" t="s">
        <v>1056</v>
      </c>
      <c r="C45" s="235" t="s">
        <v>1073</v>
      </c>
      <c r="D45" s="236" t="s">
        <v>1073</v>
      </c>
      <c r="E45" s="236" t="s">
        <v>1073</v>
      </c>
      <c r="F45" s="236" t="s">
        <v>1073</v>
      </c>
      <c r="G45" s="236" t="s">
        <v>1073</v>
      </c>
      <c r="H45" s="236" t="s">
        <v>1073</v>
      </c>
      <c r="I45" s="236" t="s">
        <v>1073</v>
      </c>
      <c r="J45" s="236" t="s">
        <v>1073</v>
      </c>
      <c r="K45" s="236" t="s">
        <v>1073</v>
      </c>
      <c r="L45" s="236" t="s">
        <v>1073</v>
      </c>
      <c r="M45" s="236" t="s">
        <v>1073</v>
      </c>
      <c r="N45" s="236" t="s">
        <v>1073</v>
      </c>
      <c r="O45" s="236" t="s">
        <v>1073</v>
      </c>
      <c r="P45" s="236" t="s">
        <v>1073</v>
      </c>
      <c r="Q45" s="236" t="s">
        <v>1137</v>
      </c>
      <c r="R45" s="237" t="s">
        <v>1063</v>
      </c>
      <c r="S45" s="1"/>
      <c r="U45" s="231" t="s">
        <v>1056</v>
      </c>
      <c r="V45" s="235" t="s">
        <v>1073</v>
      </c>
      <c r="W45" s="236" t="s">
        <v>1073</v>
      </c>
      <c r="X45" s="236" t="s">
        <v>1073</v>
      </c>
      <c r="Y45" s="236" t="s">
        <v>1073</v>
      </c>
      <c r="Z45" s="236" t="s">
        <v>1073</v>
      </c>
      <c r="AA45" s="236" t="s">
        <v>1073</v>
      </c>
      <c r="AB45" s="236" t="s">
        <v>1073</v>
      </c>
      <c r="AC45" s="236" t="s">
        <v>1073</v>
      </c>
      <c r="AD45" s="236" t="s">
        <v>1073</v>
      </c>
      <c r="AE45" s="236" t="s">
        <v>1073</v>
      </c>
      <c r="AF45" s="236" t="s">
        <v>1073</v>
      </c>
      <c r="AG45" s="236" t="s">
        <v>1073</v>
      </c>
      <c r="AH45" s="236" t="s">
        <v>1073</v>
      </c>
      <c r="AI45" s="236" t="s">
        <v>1073</v>
      </c>
      <c r="AJ45" s="236" t="s">
        <v>1137</v>
      </c>
      <c r="AK45" s="237" t="s">
        <v>1063</v>
      </c>
      <c r="AL45" s="1"/>
    </row>
    <row r="46" spans="2:38" ht="12.75" customHeight="1" x14ac:dyDescent="0.25">
      <c r="B46" s="231" t="s">
        <v>1057</v>
      </c>
      <c r="C46" s="235" t="s">
        <v>1073</v>
      </c>
      <c r="D46" s="236" t="s">
        <v>1073</v>
      </c>
      <c r="E46" s="236" t="s">
        <v>1125</v>
      </c>
      <c r="F46" s="236" t="s">
        <v>1107</v>
      </c>
      <c r="G46" s="236" t="s">
        <v>1069</v>
      </c>
      <c r="H46" s="236" t="s">
        <v>1138</v>
      </c>
      <c r="I46" s="236" t="s">
        <v>1069</v>
      </c>
      <c r="J46" s="236" t="s">
        <v>1077</v>
      </c>
      <c r="K46" s="236" t="s">
        <v>1069</v>
      </c>
      <c r="L46" s="236" t="s">
        <v>1098</v>
      </c>
      <c r="M46" s="236" t="s">
        <v>1078</v>
      </c>
      <c r="N46" s="236" t="s">
        <v>1139</v>
      </c>
      <c r="O46" s="236" t="s">
        <v>1140</v>
      </c>
      <c r="P46" s="236" t="s">
        <v>1121</v>
      </c>
      <c r="Q46" s="236" t="s">
        <v>1141</v>
      </c>
      <c r="R46" s="237" t="s">
        <v>1065</v>
      </c>
      <c r="S46" s="1"/>
      <c r="U46" s="231" t="s">
        <v>1057</v>
      </c>
      <c r="V46" s="235" t="s">
        <v>1073</v>
      </c>
      <c r="W46" s="236" t="s">
        <v>1073</v>
      </c>
      <c r="X46" s="236" t="s">
        <v>1125</v>
      </c>
      <c r="Y46" s="236" t="s">
        <v>1107</v>
      </c>
      <c r="Z46" s="236" t="s">
        <v>1069</v>
      </c>
      <c r="AA46" s="236" t="s">
        <v>1138</v>
      </c>
      <c r="AB46" s="236" t="s">
        <v>1069</v>
      </c>
      <c r="AC46" s="236" t="s">
        <v>1077</v>
      </c>
      <c r="AD46" s="236" t="s">
        <v>1069</v>
      </c>
      <c r="AE46" s="236" t="s">
        <v>1098</v>
      </c>
      <c r="AF46" s="236" t="s">
        <v>1078</v>
      </c>
      <c r="AG46" s="236" t="s">
        <v>1139</v>
      </c>
      <c r="AH46" s="236" t="s">
        <v>1140</v>
      </c>
      <c r="AI46" s="236" t="s">
        <v>1121</v>
      </c>
      <c r="AJ46" s="236" t="s">
        <v>1141</v>
      </c>
      <c r="AK46" s="237" t="s">
        <v>1065</v>
      </c>
      <c r="AL46" s="1"/>
    </row>
    <row r="47" spans="2:38" ht="12.75" customHeight="1" x14ac:dyDescent="0.25">
      <c r="B47" s="231" t="s">
        <v>1058</v>
      </c>
      <c r="C47" s="235" t="s">
        <v>1069</v>
      </c>
      <c r="D47" s="236" t="s">
        <v>1069</v>
      </c>
      <c r="E47" s="236" t="s">
        <v>1069</v>
      </c>
      <c r="F47" s="236" t="s">
        <v>1098</v>
      </c>
      <c r="G47" s="236" t="s">
        <v>1073</v>
      </c>
      <c r="H47" s="236" t="s">
        <v>1073</v>
      </c>
      <c r="I47" s="236" t="s">
        <v>1073</v>
      </c>
      <c r="J47" s="236" t="s">
        <v>1073</v>
      </c>
      <c r="K47" s="236" t="s">
        <v>1073</v>
      </c>
      <c r="L47" s="236" t="s">
        <v>1073</v>
      </c>
      <c r="M47" s="236" t="s">
        <v>1073</v>
      </c>
      <c r="N47" s="236" t="s">
        <v>1073</v>
      </c>
      <c r="O47" s="236" t="s">
        <v>1073</v>
      </c>
      <c r="P47" s="236" t="s">
        <v>1073</v>
      </c>
      <c r="Q47" s="236" t="s">
        <v>1142</v>
      </c>
      <c r="R47" s="237" t="s">
        <v>1063</v>
      </c>
      <c r="S47" s="1"/>
      <c r="U47" s="231" t="s">
        <v>1058</v>
      </c>
      <c r="V47" s="235" t="s">
        <v>1069</v>
      </c>
      <c r="W47" s="236" t="s">
        <v>1069</v>
      </c>
      <c r="X47" s="236" t="s">
        <v>1069</v>
      </c>
      <c r="Y47" s="236" t="s">
        <v>1098</v>
      </c>
      <c r="Z47" s="236" t="s">
        <v>1073</v>
      </c>
      <c r="AA47" s="236" t="s">
        <v>1073</v>
      </c>
      <c r="AB47" s="236" t="s">
        <v>1073</v>
      </c>
      <c r="AC47" s="236" t="s">
        <v>1073</v>
      </c>
      <c r="AD47" s="236" t="s">
        <v>1073</v>
      </c>
      <c r="AE47" s="236" t="s">
        <v>1073</v>
      </c>
      <c r="AF47" s="236" t="s">
        <v>1073</v>
      </c>
      <c r="AG47" s="236" t="s">
        <v>1073</v>
      </c>
      <c r="AH47" s="236" t="s">
        <v>1073</v>
      </c>
      <c r="AI47" s="236" t="s">
        <v>1073</v>
      </c>
      <c r="AJ47" s="236" t="s">
        <v>1142</v>
      </c>
      <c r="AK47" s="237" t="s">
        <v>1063</v>
      </c>
      <c r="AL47" s="1"/>
    </row>
    <row r="48" spans="2:38" ht="12.75" customHeight="1" x14ac:dyDescent="0.25">
      <c r="B48" s="231" t="s">
        <v>1059</v>
      </c>
      <c r="C48" s="235" t="s">
        <v>1071</v>
      </c>
      <c r="D48" s="236" t="s">
        <v>1072</v>
      </c>
      <c r="E48" s="236" t="s">
        <v>1143</v>
      </c>
      <c r="F48" s="236" t="s">
        <v>1123</v>
      </c>
      <c r="G48" s="236" t="s">
        <v>1144</v>
      </c>
      <c r="H48" s="236" t="s">
        <v>1145</v>
      </c>
      <c r="I48" s="236" t="s">
        <v>1146</v>
      </c>
      <c r="J48" s="236" t="s">
        <v>1147</v>
      </c>
      <c r="K48" s="236" t="s">
        <v>1079</v>
      </c>
      <c r="L48" s="236" t="s">
        <v>1124</v>
      </c>
      <c r="M48" s="236" t="s">
        <v>1096</v>
      </c>
      <c r="N48" s="236" t="s">
        <v>1073</v>
      </c>
      <c r="O48" s="236" t="s">
        <v>1073</v>
      </c>
      <c r="P48" s="236" t="s">
        <v>1073</v>
      </c>
      <c r="Q48" s="236" t="s">
        <v>1148</v>
      </c>
      <c r="R48" s="237" t="s">
        <v>1111</v>
      </c>
      <c r="S48" s="1"/>
      <c r="U48" s="231" t="s">
        <v>1059</v>
      </c>
      <c r="V48" s="235" t="s">
        <v>1071</v>
      </c>
      <c r="W48" s="236" t="s">
        <v>1072</v>
      </c>
      <c r="X48" s="236" t="s">
        <v>1143</v>
      </c>
      <c r="Y48" s="236" t="s">
        <v>1123</v>
      </c>
      <c r="Z48" s="236" t="s">
        <v>1144</v>
      </c>
      <c r="AA48" s="236" t="s">
        <v>1145</v>
      </c>
      <c r="AB48" s="236" t="s">
        <v>1146</v>
      </c>
      <c r="AC48" s="236" t="s">
        <v>1147</v>
      </c>
      <c r="AD48" s="236" t="s">
        <v>1079</v>
      </c>
      <c r="AE48" s="236" t="s">
        <v>1124</v>
      </c>
      <c r="AF48" s="236" t="s">
        <v>1096</v>
      </c>
      <c r="AG48" s="236" t="s">
        <v>1073</v>
      </c>
      <c r="AH48" s="236" t="s">
        <v>1073</v>
      </c>
      <c r="AI48" s="236" t="s">
        <v>1073</v>
      </c>
      <c r="AJ48" s="236" t="s">
        <v>1148</v>
      </c>
      <c r="AK48" s="237" t="s">
        <v>1111</v>
      </c>
      <c r="AL48" s="1"/>
    </row>
    <row r="49" spans="2:38" ht="12.75" customHeight="1" thickBot="1" x14ac:dyDescent="0.3">
      <c r="B49" s="231" t="s">
        <v>1060</v>
      </c>
      <c r="C49" s="238" t="s">
        <v>1071</v>
      </c>
      <c r="D49" s="239" t="s">
        <v>1072</v>
      </c>
      <c r="E49" s="239" t="s">
        <v>1143</v>
      </c>
      <c r="F49" s="239" t="s">
        <v>1123</v>
      </c>
      <c r="G49" s="239" t="s">
        <v>1144</v>
      </c>
      <c r="H49" s="239" t="s">
        <v>1145</v>
      </c>
      <c r="I49" s="239" t="s">
        <v>1146</v>
      </c>
      <c r="J49" s="239" t="s">
        <v>1147</v>
      </c>
      <c r="K49" s="239" t="s">
        <v>1079</v>
      </c>
      <c r="L49" s="239" t="s">
        <v>1124</v>
      </c>
      <c r="M49" s="239" t="s">
        <v>1096</v>
      </c>
      <c r="N49" s="239" t="s">
        <v>1073</v>
      </c>
      <c r="O49" s="239" t="s">
        <v>1073</v>
      </c>
      <c r="P49" s="239" t="s">
        <v>1073</v>
      </c>
      <c r="Q49" s="239" t="s">
        <v>1148</v>
      </c>
      <c r="R49" s="240" t="s">
        <v>1111</v>
      </c>
      <c r="S49" s="1"/>
      <c r="U49" s="231" t="s">
        <v>1060</v>
      </c>
      <c r="V49" s="238" t="s">
        <v>1071</v>
      </c>
      <c r="W49" s="239" t="s">
        <v>1072</v>
      </c>
      <c r="X49" s="239" t="s">
        <v>1143</v>
      </c>
      <c r="Y49" s="239" t="s">
        <v>1123</v>
      </c>
      <c r="Z49" s="239" t="s">
        <v>1144</v>
      </c>
      <c r="AA49" s="239" t="s">
        <v>1145</v>
      </c>
      <c r="AB49" s="239" t="s">
        <v>1146</v>
      </c>
      <c r="AC49" s="239" t="s">
        <v>1147</v>
      </c>
      <c r="AD49" s="239" t="s">
        <v>1079</v>
      </c>
      <c r="AE49" s="239" t="s">
        <v>1124</v>
      </c>
      <c r="AF49" s="239" t="s">
        <v>1096</v>
      </c>
      <c r="AG49" s="239" t="s">
        <v>1073</v>
      </c>
      <c r="AH49" s="239" t="s">
        <v>1073</v>
      </c>
      <c r="AI49" s="239" t="s">
        <v>1073</v>
      </c>
      <c r="AJ49" s="239" t="s">
        <v>1148</v>
      </c>
      <c r="AK49" s="240" t="s">
        <v>1111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K21" sqref="K21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273" t="s">
        <v>45</v>
      </c>
      <c r="D3" s="274"/>
      <c r="E3" s="274"/>
      <c r="F3" s="275"/>
      <c r="G3" s="294"/>
      <c r="H3" s="22"/>
    </row>
    <row r="4" spans="2:8" x14ac:dyDescent="0.25">
      <c r="B4" s="48"/>
      <c r="C4" s="276"/>
      <c r="D4" s="275"/>
      <c r="E4" s="275"/>
      <c r="F4" s="275"/>
      <c r="G4" s="294"/>
      <c r="H4" s="22"/>
    </row>
    <row r="5" spans="2:8" x14ac:dyDescent="0.25">
      <c r="B5" s="48"/>
      <c r="C5" s="276"/>
      <c r="D5" s="275"/>
      <c r="E5" s="275"/>
      <c r="F5" s="275"/>
      <c r="G5" s="294"/>
      <c r="H5" s="22"/>
    </row>
    <row r="6" spans="2:8" x14ac:dyDescent="0.25">
      <c r="B6" s="48"/>
      <c r="C6" s="276"/>
      <c r="D6" s="275"/>
      <c r="E6" s="275"/>
      <c r="F6" s="275"/>
      <c r="G6" s="294"/>
      <c r="H6" s="22"/>
    </row>
    <row r="7" spans="2:8" x14ac:dyDescent="0.25">
      <c r="B7" s="48"/>
      <c r="C7" s="276"/>
      <c r="D7" s="275"/>
      <c r="E7" s="275"/>
      <c r="F7" s="275"/>
      <c r="G7" s="294"/>
      <c r="H7" s="22"/>
    </row>
    <row r="8" spans="2:8" x14ac:dyDescent="0.25">
      <c r="B8" s="58"/>
      <c r="C8" s="276"/>
      <c r="D8" s="275"/>
      <c r="E8" s="275"/>
      <c r="F8" s="275"/>
      <c r="G8" s="294"/>
      <c r="H8" s="1"/>
    </row>
    <row r="9" spans="2:8" x14ac:dyDescent="0.25">
      <c r="B9" s="58"/>
      <c r="C9" s="276"/>
      <c r="D9" s="275"/>
      <c r="E9" s="275"/>
      <c r="F9" s="275"/>
      <c r="G9" s="294"/>
      <c r="H9" s="1"/>
    </row>
    <row r="10" spans="2:8" x14ac:dyDescent="0.25">
      <c r="B10" s="1"/>
      <c r="C10" s="276"/>
      <c r="D10" s="275"/>
      <c r="E10" s="275"/>
      <c r="F10" s="275"/>
      <c r="G10" s="294"/>
      <c r="H10" s="1"/>
    </row>
    <row r="11" spans="2:8" x14ac:dyDescent="0.25">
      <c r="B11" s="48"/>
      <c r="C11" s="277" t="s">
        <v>0</v>
      </c>
      <c r="D11" s="275"/>
      <c r="E11" s="275"/>
      <c r="F11" s="275"/>
      <c r="G11" s="294"/>
      <c r="H11" s="1"/>
    </row>
    <row r="12" spans="2:8" x14ac:dyDescent="0.25">
      <c r="B12" s="48"/>
      <c r="C12" s="276"/>
      <c r="D12" s="274"/>
      <c r="E12" s="274"/>
      <c r="F12" s="275"/>
      <c r="G12" s="294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L7" sqref="L7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02" t="s">
        <v>1160</v>
      </c>
      <c r="D3" s="303"/>
      <c r="E3" s="303"/>
      <c r="F3" s="303"/>
      <c r="G3" s="303"/>
      <c r="H3" s="304"/>
      <c r="I3" s="22"/>
    </row>
    <row r="4" spans="2:9" x14ac:dyDescent="0.25">
      <c r="B4" s="48"/>
      <c r="C4" s="305"/>
      <c r="D4" s="306"/>
      <c r="E4" s="306"/>
      <c r="F4" s="306"/>
      <c r="G4" s="306"/>
      <c r="H4" s="307"/>
      <c r="I4" s="22"/>
    </row>
    <row r="5" spans="2:9" x14ac:dyDescent="0.25">
      <c r="B5" s="48"/>
      <c r="C5" s="305"/>
      <c r="D5" s="306"/>
      <c r="E5" s="306"/>
      <c r="F5" s="306"/>
      <c r="G5" s="306"/>
      <c r="H5" s="307"/>
      <c r="I5" s="22"/>
    </row>
    <row r="6" spans="2:9" x14ac:dyDescent="0.25">
      <c r="B6" s="48"/>
      <c r="C6" s="305"/>
      <c r="D6" s="306"/>
      <c r="E6" s="306"/>
      <c r="F6" s="306"/>
      <c r="G6" s="306"/>
      <c r="H6" s="307"/>
      <c r="I6" s="22"/>
    </row>
    <row r="7" spans="2:9" x14ac:dyDescent="0.25">
      <c r="B7" s="48"/>
      <c r="C7" s="305"/>
      <c r="D7" s="306"/>
      <c r="E7" s="306"/>
      <c r="F7" s="306"/>
      <c r="G7" s="306"/>
      <c r="H7" s="307"/>
      <c r="I7" s="22"/>
    </row>
    <row r="8" spans="2:9" x14ac:dyDescent="0.25">
      <c r="B8" s="58"/>
      <c r="C8" s="305"/>
      <c r="D8" s="306"/>
      <c r="E8" s="306"/>
      <c r="F8" s="306"/>
      <c r="G8" s="306"/>
      <c r="H8" s="307"/>
      <c r="I8" s="1"/>
    </row>
    <row r="9" spans="2:9" x14ac:dyDescent="0.25">
      <c r="B9" s="58"/>
      <c r="C9" s="305"/>
      <c r="D9" s="306"/>
      <c r="E9" s="306"/>
      <c r="F9" s="306"/>
      <c r="G9" s="306"/>
      <c r="H9" s="307"/>
      <c r="I9" s="1"/>
    </row>
    <row r="10" spans="2:9" x14ac:dyDescent="0.25">
      <c r="B10" s="1"/>
      <c r="C10" s="305"/>
      <c r="D10" s="306"/>
      <c r="E10" s="306"/>
      <c r="F10" s="306"/>
      <c r="G10" s="306"/>
      <c r="H10" s="307"/>
      <c r="I10" s="1"/>
    </row>
    <row r="11" spans="2:9" x14ac:dyDescent="0.25">
      <c r="B11" s="48"/>
      <c r="C11" s="308" t="s">
        <v>0</v>
      </c>
      <c r="D11" s="306"/>
      <c r="E11" s="306"/>
      <c r="F11" s="306"/>
      <c r="G11" s="306"/>
      <c r="H11" s="307"/>
      <c r="I11" s="1"/>
    </row>
    <row r="12" spans="2:9" x14ac:dyDescent="0.25">
      <c r="B12" s="48"/>
      <c r="C12" s="309"/>
      <c r="D12" s="310"/>
      <c r="E12" s="310"/>
      <c r="F12" s="310"/>
      <c r="G12" s="310"/>
      <c r="H12" s="311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12" t="s">
        <v>1</v>
      </c>
      <c r="F14" s="312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295" t="s">
        <v>43</v>
      </c>
      <c r="C18" s="300"/>
      <c r="D18" s="301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295" t="s">
        <v>42</v>
      </c>
      <c r="F20" s="299"/>
      <c r="G20" s="299"/>
      <c r="H20" s="177">
        <v>350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295" t="s">
        <v>1002</v>
      </c>
      <c r="C22" s="313"/>
      <c r="D22" s="313"/>
      <c r="E22" s="254" t="s">
        <v>1161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52"/>
      <c r="G23" s="252"/>
      <c r="H23" s="252"/>
      <c r="I23" s="153"/>
    </row>
    <row r="24" spans="2:9" x14ac:dyDescent="0.25">
      <c r="B24" s="314" t="s">
        <v>1155</v>
      </c>
      <c r="C24" s="315"/>
      <c r="D24" s="251">
        <v>298.58999999999997</v>
      </c>
      <c r="E24" s="314" t="s">
        <v>1156</v>
      </c>
      <c r="F24" s="315"/>
      <c r="G24" s="316">
        <v>0.10478</v>
      </c>
      <c r="H24" s="317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295" t="s">
        <v>41</v>
      </c>
      <c r="C26" s="296"/>
      <c r="D26" s="297">
        <f>IF(D20="Gas",(50.2624*E18/H18*0.001)/(H20*SQRT(E22/3)*0.684),(67.7104*E18/H18*0.001)/(H20*SQRT(E22/3)*0.684))</f>
        <v>8.0956856379977682E-2</v>
      </c>
      <c r="E26" s="298"/>
      <c r="F26" s="314" t="s">
        <v>1158</v>
      </c>
      <c r="G26" s="315"/>
      <c r="H26" s="253">
        <f>D24+(D24*(100-(D26 * 100 / G24))/100)</f>
        <v>366.47845632279495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39"/>
  <sheetViews>
    <sheetView showRowColHeaders="0" topLeftCell="A11" workbookViewId="0">
      <selection activeCell="V27" sqref="V27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</row>
    <row r="3" spans="6:19" x14ac:dyDescent="0.25">
      <c r="F3" s="48"/>
      <c r="G3" s="302" t="s">
        <v>1019</v>
      </c>
      <c r="H3" s="303"/>
      <c r="I3" s="303"/>
      <c r="J3" s="303"/>
      <c r="K3" s="303"/>
      <c r="L3" s="304"/>
      <c r="M3" s="22"/>
    </row>
    <row r="4" spans="6:19" x14ac:dyDescent="0.25">
      <c r="F4" s="48"/>
      <c r="G4" s="305"/>
      <c r="H4" s="306"/>
      <c r="I4" s="306"/>
      <c r="J4" s="306"/>
      <c r="K4" s="306"/>
      <c r="L4" s="307"/>
      <c r="M4" s="22"/>
    </row>
    <row r="5" spans="6:19" x14ac:dyDescent="0.25">
      <c r="F5" s="48"/>
      <c r="G5" s="305"/>
      <c r="H5" s="306"/>
      <c r="I5" s="306"/>
      <c r="J5" s="306"/>
      <c r="K5" s="306"/>
      <c r="L5" s="307"/>
      <c r="M5" s="22"/>
    </row>
    <row r="6" spans="6:19" x14ac:dyDescent="0.25">
      <c r="F6" s="48"/>
      <c r="G6" s="305"/>
      <c r="H6" s="306"/>
      <c r="I6" s="306"/>
      <c r="J6" s="306"/>
      <c r="K6" s="306"/>
      <c r="L6" s="307"/>
      <c r="M6" s="22"/>
    </row>
    <row r="7" spans="6:19" x14ac:dyDescent="0.25">
      <c r="F7" s="48"/>
      <c r="G7" s="305"/>
      <c r="H7" s="306"/>
      <c r="I7" s="306"/>
      <c r="J7" s="306"/>
      <c r="K7" s="306"/>
      <c r="L7" s="307"/>
      <c r="M7" s="22"/>
      <c r="O7" s="1"/>
      <c r="P7" s="1"/>
      <c r="Q7" s="1"/>
      <c r="R7" s="1"/>
      <c r="S7" s="1"/>
    </row>
    <row r="8" spans="6:19" x14ac:dyDescent="0.25">
      <c r="F8" s="58"/>
      <c r="G8" s="305"/>
      <c r="H8" s="306"/>
      <c r="I8" s="306"/>
      <c r="J8" s="306"/>
      <c r="K8" s="306"/>
      <c r="L8" s="307"/>
      <c r="M8" s="1"/>
      <c r="O8" s="278" t="s">
        <v>1010</v>
      </c>
      <c r="P8" s="324"/>
      <c r="Q8" s="323"/>
      <c r="R8" s="323"/>
      <c r="S8" s="1"/>
    </row>
    <row r="9" spans="6:19" x14ac:dyDescent="0.25">
      <c r="F9" s="58"/>
      <c r="G9" s="305"/>
      <c r="H9" s="306"/>
      <c r="I9" s="306"/>
      <c r="J9" s="306"/>
      <c r="K9" s="306"/>
      <c r="L9" s="307"/>
      <c r="M9" s="1"/>
      <c r="O9" s="1"/>
      <c r="P9" s="1"/>
      <c r="Q9" s="1"/>
      <c r="R9" s="1"/>
      <c r="S9" s="1"/>
    </row>
    <row r="10" spans="6:19" x14ac:dyDescent="0.25">
      <c r="F10" s="1"/>
      <c r="G10" s="305"/>
      <c r="H10" s="306"/>
      <c r="I10" s="306"/>
      <c r="J10" s="306"/>
      <c r="K10" s="306"/>
      <c r="L10" s="307"/>
      <c r="M10" s="1"/>
      <c r="O10" s="278" t="s">
        <v>1015</v>
      </c>
      <c r="P10" s="324"/>
      <c r="Q10" s="301"/>
      <c r="R10" s="215">
        <v>120</v>
      </c>
      <c r="S10" s="214" t="s">
        <v>30</v>
      </c>
    </row>
    <row r="11" spans="6:19" x14ac:dyDescent="0.25">
      <c r="F11" s="48"/>
      <c r="G11" s="308" t="s">
        <v>0</v>
      </c>
      <c r="H11" s="306"/>
      <c r="I11" s="306"/>
      <c r="J11" s="306"/>
      <c r="K11" s="306"/>
      <c r="L11" s="307"/>
      <c r="M11" s="1"/>
      <c r="O11" s="1"/>
      <c r="P11" s="1"/>
      <c r="Q11" s="1"/>
      <c r="R11" s="1"/>
      <c r="S11" s="1"/>
    </row>
    <row r="12" spans="6:19" x14ac:dyDescent="0.25">
      <c r="F12" s="48"/>
      <c r="G12" s="309"/>
      <c r="H12" s="310"/>
      <c r="I12" s="310"/>
      <c r="J12" s="310"/>
      <c r="K12" s="310"/>
      <c r="L12" s="311"/>
      <c r="M12" s="22"/>
      <c r="O12" s="278" t="s">
        <v>1016</v>
      </c>
      <c r="P12" s="324"/>
      <c r="Q12" s="325"/>
      <c r="R12" s="215">
        <v>0.2</v>
      </c>
      <c r="S12" s="214" t="s">
        <v>1014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12" t="s">
        <v>1</v>
      </c>
      <c r="J14" s="312"/>
      <c r="K14" s="212"/>
      <c r="L14" s="212"/>
      <c r="M14" s="212"/>
      <c r="O14" s="278" t="s">
        <v>1017</v>
      </c>
      <c r="P14" s="324"/>
      <c r="Q14" s="325"/>
      <c r="R14" s="215" t="s">
        <v>36</v>
      </c>
      <c r="S14" s="1"/>
    </row>
    <row r="15" spans="6:19" x14ac:dyDescent="0.25">
      <c r="F15" s="22"/>
      <c r="G15" s="22"/>
      <c r="H15" s="22"/>
      <c r="I15" s="22"/>
      <c r="J15" s="22"/>
      <c r="K15" s="22"/>
      <c r="L15" s="22"/>
      <c r="M15" s="1"/>
      <c r="O15" s="1"/>
      <c r="P15" s="1"/>
      <c r="Q15" s="1"/>
      <c r="R15" s="1"/>
      <c r="S15" s="1"/>
    </row>
    <row r="17" spans="2:20" ht="31.5" thickBot="1" x14ac:dyDescent="0.3">
      <c r="B17" s="318" t="s">
        <v>1011</v>
      </c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</row>
    <row r="18" spans="2:20" ht="30.75" customHeight="1" thickTop="1" thickBot="1" x14ac:dyDescent="0.3">
      <c r="B18" s="1"/>
      <c r="C18" s="7" t="s">
        <v>1012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16">
        <v>1.2</v>
      </c>
      <c r="D19" s="219">
        <v>0.91920000314712524</v>
      </c>
      <c r="E19" s="220">
        <v>0.94727504253387451</v>
      </c>
      <c r="F19" s="220">
        <v>0.96131253242492676</v>
      </c>
      <c r="G19" s="220">
        <v>0.96833127737045288</v>
      </c>
      <c r="H19" s="220">
        <v>0.975350022315979</v>
      </c>
      <c r="I19" s="220">
        <v>0.975350022315979</v>
      </c>
      <c r="J19" s="220">
        <v>0.975350022315979</v>
      </c>
      <c r="K19" s="220">
        <v>0.975350022315979</v>
      </c>
      <c r="L19" s="220">
        <v>0.98077011108398438</v>
      </c>
      <c r="M19" s="220">
        <v>0.98619019985198975</v>
      </c>
      <c r="N19" s="220">
        <v>0.99309509992599487</v>
      </c>
      <c r="O19" s="220">
        <v>1</v>
      </c>
      <c r="P19" s="220">
        <v>1</v>
      </c>
      <c r="Q19" s="220">
        <v>1</v>
      </c>
      <c r="R19" s="220">
        <v>1</v>
      </c>
      <c r="S19" s="221">
        <v>1</v>
      </c>
      <c r="T19" s="13"/>
    </row>
    <row r="20" spans="2:20" x14ac:dyDescent="0.25">
      <c r="B20" s="1"/>
      <c r="C20" s="217">
        <v>1.5</v>
      </c>
      <c r="D20" s="222">
        <v>0.93982505798339844</v>
      </c>
      <c r="E20" s="223">
        <v>0.96016567945480347</v>
      </c>
      <c r="F20" s="223">
        <v>0.97033596038818359</v>
      </c>
      <c r="G20" s="223">
        <v>0.97542113065719604</v>
      </c>
      <c r="H20" s="223">
        <v>0.9805063009262085</v>
      </c>
      <c r="I20" s="223">
        <v>0.9805063009262085</v>
      </c>
      <c r="J20" s="223">
        <v>0.9805063009262085</v>
      </c>
      <c r="K20" s="223">
        <v>0.9805063009262085</v>
      </c>
      <c r="L20" s="223">
        <v>0.9805063009262085</v>
      </c>
      <c r="M20" s="223">
        <v>0.98627078533172607</v>
      </c>
      <c r="N20" s="223">
        <v>0.99313539266586304</v>
      </c>
      <c r="O20" s="223">
        <v>1</v>
      </c>
      <c r="P20" s="223">
        <v>1</v>
      </c>
      <c r="Q20" s="223">
        <v>1</v>
      </c>
      <c r="R20" s="223">
        <v>1</v>
      </c>
      <c r="S20" s="224">
        <v>1</v>
      </c>
      <c r="T20" s="13"/>
    </row>
    <row r="21" spans="2:20" x14ac:dyDescent="0.25">
      <c r="B21" s="1"/>
      <c r="C21" s="217">
        <v>2</v>
      </c>
      <c r="D21" s="225">
        <v>0.95329380035400391</v>
      </c>
      <c r="E21" s="223">
        <v>0.96947813034057617</v>
      </c>
      <c r="F21" s="223">
        <v>0.9775702953338623</v>
      </c>
      <c r="G21" s="223">
        <v>0.98566251993179321</v>
      </c>
      <c r="H21" s="223">
        <v>0.98566251993179321</v>
      </c>
      <c r="I21" s="223">
        <v>0.98566251993179321</v>
      </c>
      <c r="J21" s="223">
        <v>0.98566251993179321</v>
      </c>
      <c r="K21" s="223">
        <v>0.98566251993179321</v>
      </c>
      <c r="L21" s="223">
        <v>0.98566251993179321</v>
      </c>
      <c r="M21" s="223">
        <v>0.98627078533172607</v>
      </c>
      <c r="N21" s="223">
        <v>0.99313539266586304</v>
      </c>
      <c r="O21" s="223">
        <v>1</v>
      </c>
      <c r="P21" s="223">
        <v>1</v>
      </c>
      <c r="Q21" s="223">
        <v>1</v>
      </c>
      <c r="R21" s="223">
        <v>1</v>
      </c>
      <c r="S21" s="224">
        <v>1</v>
      </c>
      <c r="T21" s="13"/>
    </row>
    <row r="22" spans="2:20" x14ac:dyDescent="0.25">
      <c r="B22" s="1"/>
      <c r="C22" s="217">
        <v>2.5</v>
      </c>
      <c r="D22" s="225">
        <v>0.96002817153930664</v>
      </c>
      <c r="E22" s="223">
        <v>0.97284531593322754</v>
      </c>
      <c r="F22" s="223">
        <v>0.97925388813018799</v>
      </c>
      <c r="G22" s="223">
        <v>0.98566251993179321</v>
      </c>
      <c r="H22" s="223">
        <v>0.98566251993179321</v>
      </c>
      <c r="I22" s="223">
        <v>0.98566251993179321</v>
      </c>
      <c r="J22" s="223">
        <v>0.98566251993179321</v>
      </c>
      <c r="K22" s="223">
        <v>0.98566251993179321</v>
      </c>
      <c r="L22" s="223">
        <v>0.98566251993179321</v>
      </c>
      <c r="M22" s="223">
        <v>0.98627078533172607</v>
      </c>
      <c r="N22" s="223">
        <v>0.99313539266586304</v>
      </c>
      <c r="O22" s="223">
        <v>1</v>
      </c>
      <c r="P22" s="223">
        <v>1</v>
      </c>
      <c r="Q22" s="223">
        <v>1.0002900362014771</v>
      </c>
      <c r="R22" s="223">
        <v>1.0002900362014771</v>
      </c>
      <c r="S22" s="224">
        <v>1.003000020980835</v>
      </c>
      <c r="T22" s="13"/>
    </row>
    <row r="23" spans="2:20" x14ac:dyDescent="0.25">
      <c r="B23" s="1"/>
      <c r="C23" s="217">
        <v>3</v>
      </c>
      <c r="D23" s="225">
        <v>0.96676254272460938</v>
      </c>
      <c r="E23" s="223">
        <v>0.97621250152587891</v>
      </c>
      <c r="F23" s="223">
        <v>0.98566251993179321</v>
      </c>
      <c r="G23" s="223">
        <v>0.98566251993179321</v>
      </c>
      <c r="H23" s="223">
        <v>0.98566251993179321</v>
      </c>
      <c r="I23" s="223">
        <v>0.98566251993179321</v>
      </c>
      <c r="J23" s="223">
        <v>0.98566251993179321</v>
      </c>
      <c r="K23" s="223">
        <v>0.98566251993179321</v>
      </c>
      <c r="L23" s="223">
        <v>0.98566251993179321</v>
      </c>
      <c r="M23" s="223">
        <v>0.98627078533172607</v>
      </c>
      <c r="N23" s="223">
        <v>0.99313539266586304</v>
      </c>
      <c r="O23" s="223">
        <v>1</v>
      </c>
      <c r="P23" s="223">
        <v>1.0000009536743164</v>
      </c>
      <c r="Q23" s="223">
        <v>1.0005800724029541</v>
      </c>
      <c r="R23" s="223">
        <v>1.0005800724029541</v>
      </c>
      <c r="S23" s="224">
        <v>1.003000020980835</v>
      </c>
      <c r="T23" s="13"/>
    </row>
    <row r="24" spans="2:20" x14ac:dyDescent="0.25">
      <c r="B24" s="1"/>
      <c r="C24" s="217">
        <v>4</v>
      </c>
      <c r="D24" s="225">
        <v>0.96676254272460938</v>
      </c>
      <c r="E24" s="223">
        <v>0.97621250152587891</v>
      </c>
      <c r="F24" s="223">
        <v>0.98566251993179321</v>
      </c>
      <c r="G24" s="223">
        <v>0.98566251993179321</v>
      </c>
      <c r="H24" s="223">
        <v>0.98566251993179321</v>
      </c>
      <c r="I24" s="223">
        <v>0.98566251993179321</v>
      </c>
      <c r="J24" s="223">
        <v>0.98566251993179321</v>
      </c>
      <c r="K24" s="223">
        <v>0.98566251993179321</v>
      </c>
      <c r="L24" s="223">
        <v>0.98566251993179321</v>
      </c>
      <c r="M24" s="223">
        <v>0.98627078533172607</v>
      </c>
      <c r="N24" s="223">
        <v>0.99727076292037964</v>
      </c>
      <c r="O24" s="223">
        <v>1.0027710199356079</v>
      </c>
      <c r="P24" s="223">
        <v>1.0082712173461914</v>
      </c>
      <c r="Q24" s="223">
        <v>1.0085606575012207</v>
      </c>
      <c r="R24" s="223">
        <v>1.0085606575012207</v>
      </c>
      <c r="S24" s="224">
        <v>1.0097706317901611</v>
      </c>
      <c r="T24" s="13"/>
    </row>
    <row r="25" spans="2:20" x14ac:dyDescent="0.25">
      <c r="B25" s="1"/>
      <c r="C25" s="217">
        <v>5</v>
      </c>
      <c r="D25" s="225">
        <v>0.97715508937835693</v>
      </c>
      <c r="E25" s="223">
        <v>0.98201560974121094</v>
      </c>
      <c r="F25" s="223">
        <v>0.98566251993179321</v>
      </c>
      <c r="G25" s="223">
        <v>0.98566251993179321</v>
      </c>
      <c r="H25" s="223">
        <v>0.98566251993179321</v>
      </c>
      <c r="I25" s="223">
        <v>0.98566251993179321</v>
      </c>
      <c r="J25" s="223">
        <v>0.98566251993179321</v>
      </c>
      <c r="K25" s="223">
        <v>0.98566251993179321</v>
      </c>
      <c r="L25" s="223">
        <v>0.98566251993179321</v>
      </c>
      <c r="M25" s="223">
        <v>0.98627078533172607</v>
      </c>
      <c r="N25" s="223">
        <v>1.0014060735702515</v>
      </c>
      <c r="O25" s="223">
        <v>1.0089737176895142</v>
      </c>
      <c r="P25" s="223">
        <v>1.0165413618087769</v>
      </c>
      <c r="Q25" s="223">
        <v>1.0165413618087769</v>
      </c>
      <c r="R25" s="223">
        <v>1.0165413618087769</v>
      </c>
      <c r="S25" s="224">
        <v>1.0165413618087769</v>
      </c>
      <c r="T25" s="13"/>
    </row>
    <row r="26" spans="2:20" x14ac:dyDescent="0.25">
      <c r="B26" s="1"/>
      <c r="C26" s="217">
        <v>6</v>
      </c>
      <c r="D26" s="225">
        <v>0.98546445369720459</v>
      </c>
      <c r="E26" s="223">
        <v>0.98754763603210449</v>
      </c>
      <c r="F26" s="223">
        <v>0.98891890048980713</v>
      </c>
      <c r="G26" s="223">
        <v>0.98891890048980713</v>
      </c>
      <c r="H26" s="223">
        <v>0.98891890048980713</v>
      </c>
      <c r="I26" s="223">
        <v>0.98891890048980713</v>
      </c>
      <c r="J26" s="223">
        <v>0.98891890048980713</v>
      </c>
      <c r="K26" s="223">
        <v>0.98891890048980713</v>
      </c>
      <c r="L26" s="223">
        <v>0.98891890048980713</v>
      </c>
      <c r="M26" s="223">
        <v>0.9903724193572998</v>
      </c>
      <c r="N26" s="223">
        <v>1.0061166286468506</v>
      </c>
      <c r="O26" s="223">
        <v>1.013988733291626</v>
      </c>
      <c r="P26" s="223">
        <v>1.0218609571456909</v>
      </c>
      <c r="Q26" s="223">
        <v>1.0218609571456909</v>
      </c>
      <c r="R26" s="223">
        <v>1.0218609571456909</v>
      </c>
      <c r="S26" s="224">
        <v>1.0218609571456909</v>
      </c>
      <c r="T26" s="13"/>
    </row>
    <row r="27" spans="2:20" x14ac:dyDescent="0.25">
      <c r="B27" s="1"/>
      <c r="C27" s="217">
        <v>7</v>
      </c>
      <c r="D27" s="225">
        <v>0.99377381801605225</v>
      </c>
      <c r="E27" s="223">
        <v>0.99858105182647705</v>
      </c>
      <c r="F27" s="223">
        <v>0.99926668405532837</v>
      </c>
      <c r="G27" s="223">
        <v>0.99926668405532837</v>
      </c>
      <c r="H27" s="223">
        <v>0.99926668405532837</v>
      </c>
      <c r="I27" s="223">
        <v>0.99926668405532837</v>
      </c>
      <c r="J27" s="223">
        <v>0.99926668405532837</v>
      </c>
      <c r="K27" s="223">
        <v>0.99926668405532837</v>
      </c>
      <c r="L27" s="223">
        <v>0.99926668405532837</v>
      </c>
      <c r="M27" s="223">
        <v>1.0002862215042114</v>
      </c>
      <c r="N27" s="223">
        <v>1.0142848491668701</v>
      </c>
      <c r="O27" s="223">
        <v>1.0212841033935547</v>
      </c>
      <c r="P27" s="223">
        <v>1.0282833576202393</v>
      </c>
      <c r="Q27" s="223">
        <v>1.0282833576202393</v>
      </c>
      <c r="R27" s="223">
        <v>1.0282833576202393</v>
      </c>
      <c r="S27" s="224">
        <v>1.0282833576202393</v>
      </c>
      <c r="T27" s="13"/>
    </row>
    <row r="28" spans="2:20" x14ac:dyDescent="0.25">
      <c r="B28" s="1"/>
      <c r="C28" s="217">
        <v>8</v>
      </c>
      <c r="D28" s="225">
        <v>1.0084619522094727</v>
      </c>
      <c r="E28" s="223">
        <v>1.0132691860198975</v>
      </c>
      <c r="F28" s="223">
        <v>1.013611912727356</v>
      </c>
      <c r="G28" s="223">
        <v>1.013611912727356</v>
      </c>
      <c r="H28" s="223">
        <v>1.013611912727356</v>
      </c>
      <c r="I28" s="223">
        <v>1.013611912727356</v>
      </c>
      <c r="J28" s="223">
        <v>1.013611912727356</v>
      </c>
      <c r="K28" s="223">
        <v>1.013611912727356</v>
      </c>
      <c r="L28" s="223">
        <v>1.013611912727356</v>
      </c>
      <c r="M28" s="223">
        <v>1.0141217708587646</v>
      </c>
      <c r="N28" s="223">
        <v>1.021202564239502</v>
      </c>
      <c r="O28" s="223">
        <v>1.0282833576202393</v>
      </c>
      <c r="P28" s="223">
        <v>1.0282833576202393</v>
      </c>
      <c r="Q28" s="223">
        <v>1.0282833576202393</v>
      </c>
      <c r="R28" s="223">
        <v>1.0282833576202393</v>
      </c>
      <c r="S28" s="224">
        <v>1.0282833576202393</v>
      </c>
      <c r="T28" s="13"/>
    </row>
    <row r="29" spans="2:20" x14ac:dyDescent="0.25">
      <c r="B29" s="1"/>
      <c r="C29" s="217">
        <v>9</v>
      </c>
      <c r="D29" s="225">
        <v>1.026618480682373</v>
      </c>
      <c r="E29" s="223">
        <v>1.0290220975875854</v>
      </c>
      <c r="F29" s="223">
        <v>1.0291934013366699</v>
      </c>
      <c r="G29" s="223">
        <v>1.0291934013366699</v>
      </c>
      <c r="H29" s="223">
        <v>1.0291934013366699</v>
      </c>
      <c r="I29" s="223">
        <v>1.0291934013366699</v>
      </c>
      <c r="J29" s="223">
        <v>1.0291934013366699</v>
      </c>
      <c r="K29" s="223">
        <v>1.0291934013366699</v>
      </c>
      <c r="L29" s="223">
        <v>1.0291934013366699</v>
      </c>
      <c r="M29" s="223">
        <v>1.029448390007019</v>
      </c>
      <c r="N29" s="223">
        <v>1.0312893390655518</v>
      </c>
      <c r="O29" s="223">
        <v>1.0365291833877563</v>
      </c>
      <c r="P29" s="223">
        <v>1.0365291833877563</v>
      </c>
      <c r="Q29" s="223">
        <v>1.0365291833877563</v>
      </c>
      <c r="R29" s="223">
        <v>1.0365291833877563</v>
      </c>
      <c r="S29" s="224">
        <v>1.0365291833877563</v>
      </c>
      <c r="T29" s="13"/>
    </row>
    <row r="30" spans="2:20" x14ac:dyDescent="0.25">
      <c r="B30" s="1"/>
      <c r="C30" s="217">
        <v>10</v>
      </c>
      <c r="D30" s="225">
        <v>1.0356967449188232</v>
      </c>
      <c r="E30" s="223">
        <v>1.0368986129760742</v>
      </c>
      <c r="F30" s="223">
        <v>1.0369842052459717</v>
      </c>
      <c r="G30" s="223">
        <v>1.0369842052459717</v>
      </c>
      <c r="H30" s="223">
        <v>1.0369842052459717</v>
      </c>
      <c r="I30" s="223">
        <v>1.0369842052459717</v>
      </c>
      <c r="J30" s="223">
        <v>1.0369842052459717</v>
      </c>
      <c r="K30" s="223">
        <v>1.0369842052459717</v>
      </c>
      <c r="L30" s="223">
        <v>1.0369842052459717</v>
      </c>
      <c r="M30" s="223">
        <v>1.037111759185791</v>
      </c>
      <c r="N30" s="223">
        <v>1.0380321741104126</v>
      </c>
      <c r="O30" s="223">
        <v>1.0447750091552734</v>
      </c>
      <c r="P30" s="223">
        <v>1.0447750091552734</v>
      </c>
      <c r="Q30" s="223">
        <v>1.0447750091552734</v>
      </c>
      <c r="R30" s="223">
        <v>1.0447750091552734</v>
      </c>
      <c r="S30" s="224">
        <v>1.0447750091552734</v>
      </c>
      <c r="T30" s="13"/>
    </row>
    <row r="31" spans="2:20" x14ac:dyDescent="0.25">
      <c r="B31" s="1"/>
      <c r="C31" s="217">
        <v>12</v>
      </c>
      <c r="D31" s="225">
        <v>1.0447750091552734</v>
      </c>
      <c r="E31" s="223">
        <v>1.0447750091552734</v>
      </c>
      <c r="F31" s="223">
        <v>1.0447750091552734</v>
      </c>
      <c r="G31" s="223">
        <v>1.0447750091552734</v>
      </c>
      <c r="H31" s="223">
        <v>1.0447750091552734</v>
      </c>
      <c r="I31" s="223">
        <v>1.0447750091552734</v>
      </c>
      <c r="J31" s="223">
        <v>1.0447750091552734</v>
      </c>
      <c r="K31" s="223">
        <v>1.0447750091552734</v>
      </c>
      <c r="L31" s="223">
        <v>1.0447750091552734</v>
      </c>
      <c r="M31" s="223">
        <v>1.0447750091552734</v>
      </c>
      <c r="N31" s="223">
        <v>1.0447750091552734</v>
      </c>
      <c r="O31" s="223">
        <v>1.0447750091552734</v>
      </c>
      <c r="P31" s="223">
        <v>1.0447750091552734</v>
      </c>
      <c r="Q31" s="223">
        <v>1.0447750091552734</v>
      </c>
      <c r="R31" s="223">
        <v>1.0447750091552734</v>
      </c>
      <c r="S31" s="224">
        <v>1.0447750091552734</v>
      </c>
      <c r="T31" s="13"/>
    </row>
    <row r="32" spans="2:20" x14ac:dyDescent="0.25">
      <c r="B32" s="1"/>
      <c r="C32" s="217">
        <v>14</v>
      </c>
      <c r="D32" s="225">
        <v>1.0447750091552734</v>
      </c>
      <c r="E32" s="223">
        <v>1.0447750091552734</v>
      </c>
      <c r="F32" s="223">
        <v>1.0447750091552734</v>
      </c>
      <c r="G32" s="223">
        <v>1.0447750091552734</v>
      </c>
      <c r="H32" s="223">
        <v>1.0447750091552734</v>
      </c>
      <c r="I32" s="223">
        <v>1.0447750091552734</v>
      </c>
      <c r="J32" s="223">
        <v>1.0447750091552734</v>
      </c>
      <c r="K32" s="223">
        <v>1.0447750091552734</v>
      </c>
      <c r="L32" s="223">
        <v>1.0447750091552734</v>
      </c>
      <c r="M32" s="223">
        <v>1.0447750091552734</v>
      </c>
      <c r="N32" s="223">
        <v>1.0447750091552734</v>
      </c>
      <c r="O32" s="223">
        <v>1.0447750091552734</v>
      </c>
      <c r="P32" s="223">
        <v>1.0447750091552734</v>
      </c>
      <c r="Q32" s="223">
        <v>1.0447750091552734</v>
      </c>
      <c r="R32" s="223">
        <v>1.0447750091552734</v>
      </c>
      <c r="S32" s="224">
        <v>1.0447750091552734</v>
      </c>
      <c r="T32" s="13"/>
    </row>
    <row r="33" spans="2:20" x14ac:dyDescent="0.25">
      <c r="B33" s="1"/>
      <c r="C33" s="217">
        <v>17</v>
      </c>
      <c r="D33" s="225">
        <v>1.0447750091552734</v>
      </c>
      <c r="E33" s="223">
        <v>1.0447750091552734</v>
      </c>
      <c r="F33" s="223">
        <v>1.0447750091552734</v>
      </c>
      <c r="G33" s="223">
        <v>1.0447750091552734</v>
      </c>
      <c r="H33" s="223">
        <v>1.0447750091552734</v>
      </c>
      <c r="I33" s="223">
        <v>1.0447750091552734</v>
      </c>
      <c r="J33" s="223">
        <v>1.0447750091552734</v>
      </c>
      <c r="K33" s="223">
        <v>1.0447750091552734</v>
      </c>
      <c r="L33" s="223">
        <v>1.0447750091552734</v>
      </c>
      <c r="M33" s="223">
        <v>1.0447750091552734</v>
      </c>
      <c r="N33" s="223">
        <v>1.0447750091552734</v>
      </c>
      <c r="O33" s="223">
        <v>1.0447750091552734</v>
      </c>
      <c r="P33" s="223">
        <v>1.0447750091552734</v>
      </c>
      <c r="Q33" s="223">
        <v>1.0447750091552734</v>
      </c>
      <c r="R33" s="223">
        <v>1.0447750091552734</v>
      </c>
      <c r="S33" s="224">
        <v>1.0447750091552734</v>
      </c>
      <c r="T33" s="13"/>
    </row>
    <row r="34" spans="2:20" ht="15.75" thickBot="1" x14ac:dyDescent="0.3">
      <c r="B34" s="1"/>
      <c r="C34" s="218">
        <v>20</v>
      </c>
      <c r="D34" s="226">
        <v>1.0447750091552734</v>
      </c>
      <c r="E34" s="227">
        <v>1.0447750091552734</v>
      </c>
      <c r="F34" s="227">
        <v>1.0447750091552734</v>
      </c>
      <c r="G34" s="227">
        <v>1.0447750091552734</v>
      </c>
      <c r="H34" s="227">
        <v>1.0447750091552734</v>
      </c>
      <c r="I34" s="227">
        <v>1.0447750091552734</v>
      </c>
      <c r="J34" s="227">
        <v>1.0447750091552734</v>
      </c>
      <c r="K34" s="227">
        <v>1.0447750091552734</v>
      </c>
      <c r="L34" s="227">
        <v>1.0447750091552734</v>
      </c>
      <c r="M34" s="227">
        <v>1.0447750091552734</v>
      </c>
      <c r="N34" s="227">
        <v>1.0447750091552734</v>
      </c>
      <c r="O34" s="227">
        <v>1.0447750091552734</v>
      </c>
      <c r="P34" s="227">
        <v>1.0447750091552734</v>
      </c>
      <c r="Q34" s="227">
        <v>1.0447750091552734</v>
      </c>
      <c r="R34" s="227">
        <v>1.0447750091552734</v>
      </c>
      <c r="S34" s="228">
        <v>1.0447750091552734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0.75" x14ac:dyDescent="0.25">
      <c r="B37" s="318" t="s">
        <v>1013</v>
      </c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</row>
    <row r="38" spans="2:20" x14ac:dyDescent="0.25">
      <c r="B38" s="1"/>
      <c r="C38" s="320" t="s">
        <v>1159</v>
      </c>
      <c r="D38" s="321"/>
      <c r="E38" s="321"/>
      <c r="F38" s="321"/>
      <c r="G38" s="321"/>
      <c r="H38" s="321"/>
      <c r="I38" s="321"/>
      <c r="J38" s="321"/>
      <c r="K38" s="321"/>
      <c r="L38" s="321"/>
      <c r="M38" s="321"/>
      <c r="N38" s="321"/>
      <c r="O38" s="321"/>
      <c r="P38" s="321"/>
      <c r="Q38" s="321"/>
      <c r="R38" s="321"/>
      <c r="S38" s="322"/>
      <c r="T38" s="1"/>
    </row>
    <row r="39" spans="2:20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</sheetData>
  <sheetProtection password="FD37" sheet="1" objects="1" scenarios="1"/>
  <mergeCells count="11">
    <mergeCell ref="B37:T37"/>
    <mergeCell ref="C38:S38"/>
    <mergeCell ref="B17:T17"/>
    <mergeCell ref="G3:L10"/>
    <mergeCell ref="G11:L12"/>
    <mergeCell ref="I14:J14"/>
    <mergeCell ref="Q8:R8"/>
    <mergeCell ref="O8:P8"/>
    <mergeCell ref="O10:Q10"/>
    <mergeCell ref="O12:Q12"/>
    <mergeCell ref="O14:Q14"/>
  </mergeCells>
  <conditionalFormatting sqref="T19:T34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2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8:S18">
      <formula1>0</formula1>
      <formula2>8000</formula2>
    </dataValidation>
    <dataValidation type="decimal" showInputMessage="1" showErrorMessage="1" sqref="C19:C34">
      <formula1>0</formula1>
      <formula2>30</formula2>
    </dataValidation>
    <dataValidation type="list" showInputMessage="1" showErrorMessage="1" sqref="R14">
      <formula1>"YES,NO"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U24" sqref="U24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18" t="s">
        <v>15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02" t="s">
        <v>1152</v>
      </c>
      <c r="Y3" s="326"/>
      <c r="Z3" s="326"/>
      <c r="AA3" s="326"/>
      <c r="AB3" s="326"/>
      <c r="AC3" s="326"/>
      <c r="AD3" s="326"/>
      <c r="AE3" s="327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273"/>
      <c r="Y4" s="328"/>
      <c r="Z4" s="328"/>
      <c r="AA4" s="328"/>
      <c r="AB4" s="328"/>
      <c r="AC4" s="328"/>
      <c r="AD4" s="328"/>
      <c r="AE4" s="329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273"/>
      <c r="Y5" s="328"/>
      <c r="Z5" s="328"/>
      <c r="AA5" s="328"/>
      <c r="AB5" s="328"/>
      <c r="AC5" s="328"/>
      <c r="AD5" s="328"/>
      <c r="AE5" s="329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273"/>
      <c r="Y6" s="328"/>
      <c r="Z6" s="328"/>
      <c r="AA6" s="328"/>
      <c r="AB6" s="328"/>
      <c r="AC6" s="328"/>
      <c r="AD6" s="328"/>
      <c r="AE6" s="329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273"/>
      <c r="Y7" s="328"/>
      <c r="Z7" s="328"/>
      <c r="AA7" s="328"/>
      <c r="AB7" s="328"/>
      <c r="AC7" s="328"/>
      <c r="AD7" s="328"/>
      <c r="AE7" s="329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273"/>
      <c r="Y8" s="328"/>
      <c r="Z8" s="328"/>
      <c r="AA8" s="328"/>
      <c r="AB8" s="328"/>
      <c r="AC8" s="328"/>
      <c r="AD8" s="328"/>
      <c r="AE8" s="329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273"/>
      <c r="Y9" s="328"/>
      <c r="Z9" s="328"/>
      <c r="AA9" s="328"/>
      <c r="AB9" s="328"/>
      <c r="AC9" s="328"/>
      <c r="AD9" s="328"/>
      <c r="AE9" s="329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08" t="s">
        <v>0</v>
      </c>
      <c r="Y10" s="330"/>
      <c r="Z10" s="330"/>
      <c r="AA10" s="330"/>
      <c r="AB10" s="330"/>
      <c r="AC10" s="330"/>
      <c r="AD10" s="330"/>
      <c r="AE10" s="331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32"/>
      <c r="Y11" s="333"/>
      <c r="Z11" s="333"/>
      <c r="AA11" s="333"/>
      <c r="AB11" s="333"/>
      <c r="AC11" s="333"/>
      <c r="AD11" s="333"/>
      <c r="AE11" s="334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35"/>
      <c r="Y14" s="336"/>
      <c r="Z14" s="32" t="s">
        <v>2</v>
      </c>
      <c r="AA14" s="312" t="s">
        <v>1</v>
      </c>
      <c r="AB14" s="312"/>
      <c r="AC14" s="312"/>
      <c r="AD14" s="312"/>
      <c r="AE14" s="312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278" t="s">
        <v>17</v>
      </c>
      <c r="D22" s="278"/>
      <c r="E22" s="337"/>
      <c r="F22" s="250" t="s">
        <v>36</v>
      </c>
      <c r="G22" s="278" t="s">
        <v>3</v>
      </c>
      <c r="H22" s="278"/>
      <c r="I22" s="337"/>
      <c r="J22" s="249">
        <v>0.8</v>
      </c>
      <c r="K22" s="59" t="s">
        <v>12</v>
      </c>
      <c r="L22" s="48"/>
      <c r="M22" s="278" t="s">
        <v>4</v>
      </c>
      <c r="N22" s="278"/>
      <c r="O22" s="278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8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278" t="s">
        <v>1151</v>
      </c>
      <c r="D24" s="279"/>
      <c r="E24" s="342" t="s">
        <v>1153</v>
      </c>
      <c r="F24" s="343"/>
      <c r="G24" s="278" t="s">
        <v>11</v>
      </c>
      <c r="H24" s="278"/>
      <c r="I24" s="337"/>
      <c r="J24" s="339" t="s">
        <v>1154</v>
      </c>
      <c r="K24" s="340"/>
      <c r="L24" s="63"/>
      <c r="M24" s="278" t="s">
        <v>8</v>
      </c>
      <c r="N24" s="278"/>
      <c r="O24" s="278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278" t="s">
        <v>5</v>
      </c>
      <c r="H26" s="278"/>
      <c r="I26" s="337"/>
      <c r="J26" s="249">
        <v>0</v>
      </c>
      <c r="K26" s="59" t="s">
        <v>13</v>
      </c>
      <c r="L26" s="48"/>
      <c r="M26" s="278" t="s">
        <v>6</v>
      </c>
      <c r="N26" s="278"/>
      <c r="O26" s="278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38" t="s">
        <v>9</v>
      </c>
      <c r="I27" s="33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18" t="s">
        <v>18</v>
      </c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18" t="s">
        <v>19</v>
      </c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02" t="s">
        <v>37</v>
      </c>
      <c r="S23" s="303"/>
      <c r="T23" s="303"/>
      <c r="U23" s="303"/>
      <c r="V23" s="303"/>
      <c r="W23" s="303"/>
      <c r="X23" s="303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05"/>
      <c r="S24" s="324"/>
      <c r="T24" s="324"/>
      <c r="U24" s="324"/>
      <c r="V24" s="324"/>
      <c r="W24" s="324"/>
      <c r="X24" s="324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05"/>
      <c r="S25" s="324"/>
      <c r="T25" s="324"/>
      <c r="U25" s="324"/>
      <c r="V25" s="324"/>
      <c r="W25" s="324"/>
      <c r="X25" s="324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05"/>
      <c r="S26" s="324"/>
      <c r="T26" s="324"/>
      <c r="U26" s="324"/>
      <c r="V26" s="324"/>
      <c r="W26" s="324"/>
      <c r="X26" s="324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05"/>
      <c r="S27" s="324"/>
      <c r="T27" s="324"/>
      <c r="U27" s="324"/>
      <c r="V27" s="324"/>
      <c r="W27" s="324"/>
      <c r="X27" s="324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05"/>
      <c r="S28" s="324"/>
      <c r="T28" s="324"/>
      <c r="U28" s="324"/>
      <c r="V28" s="324"/>
      <c r="W28" s="324"/>
      <c r="X28" s="324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05"/>
      <c r="S29" s="324"/>
      <c r="T29" s="324"/>
      <c r="U29" s="324"/>
      <c r="V29" s="324"/>
      <c r="W29" s="324"/>
      <c r="X29" s="324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08" t="s">
        <v>0</v>
      </c>
      <c r="S30" s="324"/>
      <c r="T30" s="324"/>
      <c r="U30" s="324"/>
      <c r="V30" s="324"/>
      <c r="W30" s="324"/>
      <c r="X30" s="324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09"/>
      <c r="S31" s="310"/>
      <c r="T31" s="310"/>
      <c r="U31" s="310"/>
      <c r="V31" s="310"/>
      <c r="W31" s="310"/>
      <c r="X31" s="310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12" t="s">
        <v>1</v>
      </c>
      <c r="U33" s="312"/>
      <c r="V33" s="312"/>
      <c r="W33" s="312"/>
      <c r="X33" s="312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4" t="s">
        <v>20</v>
      </c>
      <c r="C42" s="345"/>
      <c r="D42" s="345"/>
      <c r="E42" s="345"/>
      <c r="F42" s="345"/>
      <c r="G42" s="345"/>
      <c r="H42" s="345"/>
      <c r="I42" s="345"/>
      <c r="J42" s="345"/>
      <c r="K42" s="345"/>
      <c r="L42" s="345"/>
      <c r="M42" s="345"/>
      <c r="N42" s="345"/>
      <c r="O42" s="345"/>
      <c r="P42" s="345"/>
      <c r="Q42" s="34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18" t="s">
        <v>18</v>
      </c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18" t="s">
        <v>19</v>
      </c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02" t="s">
        <v>38</v>
      </c>
      <c r="S23" s="303"/>
      <c r="T23" s="303"/>
      <c r="U23" s="303"/>
      <c r="V23" s="303"/>
      <c r="W23" s="303"/>
      <c r="X23" s="303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05"/>
      <c r="S24" s="324"/>
      <c r="T24" s="324"/>
      <c r="U24" s="324"/>
      <c r="V24" s="324"/>
      <c r="W24" s="324"/>
      <c r="X24" s="324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05"/>
      <c r="S25" s="324"/>
      <c r="T25" s="324"/>
      <c r="U25" s="324"/>
      <c r="V25" s="324"/>
      <c r="W25" s="324"/>
      <c r="X25" s="324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05"/>
      <c r="S26" s="324"/>
      <c r="T26" s="324"/>
      <c r="U26" s="324"/>
      <c r="V26" s="324"/>
      <c r="W26" s="324"/>
      <c r="X26" s="324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05"/>
      <c r="S27" s="324"/>
      <c r="T27" s="324"/>
      <c r="U27" s="324"/>
      <c r="V27" s="324"/>
      <c r="W27" s="324"/>
      <c r="X27" s="324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05"/>
      <c r="S28" s="324"/>
      <c r="T28" s="324"/>
      <c r="U28" s="324"/>
      <c r="V28" s="324"/>
      <c r="W28" s="324"/>
      <c r="X28" s="324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05"/>
      <c r="S29" s="324"/>
      <c r="T29" s="324"/>
      <c r="U29" s="324"/>
      <c r="V29" s="324"/>
      <c r="W29" s="324"/>
      <c r="X29" s="324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08" t="s">
        <v>0</v>
      </c>
      <c r="S30" s="324"/>
      <c r="T30" s="324"/>
      <c r="U30" s="324"/>
      <c r="V30" s="324"/>
      <c r="W30" s="324"/>
      <c r="X30" s="324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09"/>
      <c r="S31" s="310"/>
      <c r="T31" s="310"/>
      <c r="U31" s="310"/>
      <c r="V31" s="310"/>
      <c r="W31" s="310"/>
      <c r="X31" s="310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12" t="s">
        <v>1</v>
      </c>
      <c r="U33" s="312"/>
      <c r="V33" s="312"/>
      <c r="W33" s="312"/>
      <c r="X33" s="312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44" t="s">
        <v>20</v>
      </c>
      <c r="C42" s="345"/>
      <c r="D42" s="345"/>
      <c r="E42" s="345"/>
      <c r="F42" s="345"/>
      <c r="G42" s="345"/>
      <c r="H42" s="345"/>
      <c r="I42" s="345"/>
      <c r="J42" s="345"/>
      <c r="K42" s="345"/>
      <c r="L42" s="345"/>
      <c r="M42" s="345"/>
      <c r="N42" s="345"/>
      <c r="O42" s="345"/>
      <c r="P42" s="345"/>
      <c r="Q42" s="34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/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02" t="s">
        <v>1018</v>
      </c>
      <c r="H3" s="303"/>
      <c r="I3" s="303"/>
      <c r="J3" s="303"/>
      <c r="K3" s="303"/>
      <c r="L3" s="304"/>
      <c r="M3" s="22"/>
    </row>
    <row r="4" spans="6:20" x14ac:dyDescent="0.25">
      <c r="F4" s="48"/>
      <c r="G4" s="305"/>
      <c r="H4" s="306"/>
      <c r="I4" s="306"/>
      <c r="J4" s="306"/>
      <c r="K4" s="306"/>
      <c r="L4" s="307"/>
      <c r="M4" s="22"/>
    </row>
    <row r="5" spans="6:20" x14ac:dyDescent="0.25">
      <c r="F5" s="48"/>
      <c r="G5" s="305"/>
      <c r="H5" s="306"/>
      <c r="I5" s="306"/>
      <c r="J5" s="306"/>
      <c r="K5" s="306"/>
      <c r="L5" s="307"/>
      <c r="M5" s="22"/>
    </row>
    <row r="6" spans="6:20" x14ac:dyDescent="0.25">
      <c r="F6" s="48"/>
      <c r="G6" s="305"/>
      <c r="H6" s="306"/>
      <c r="I6" s="306"/>
      <c r="J6" s="306"/>
      <c r="K6" s="306"/>
      <c r="L6" s="307"/>
      <c r="M6" s="22"/>
    </row>
    <row r="7" spans="6:20" x14ac:dyDescent="0.25">
      <c r="F7" s="48"/>
      <c r="G7" s="305"/>
      <c r="H7" s="306"/>
      <c r="I7" s="306"/>
      <c r="J7" s="306"/>
      <c r="K7" s="306"/>
      <c r="L7" s="307"/>
      <c r="M7" s="22"/>
    </row>
    <row r="8" spans="6:20" x14ac:dyDescent="0.25">
      <c r="F8" s="58"/>
      <c r="G8" s="305"/>
      <c r="H8" s="306"/>
      <c r="I8" s="306"/>
      <c r="J8" s="306"/>
      <c r="K8" s="306"/>
      <c r="L8" s="307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05"/>
      <c r="H9" s="306"/>
      <c r="I9" s="306"/>
      <c r="J9" s="306"/>
      <c r="K9" s="306"/>
      <c r="L9" s="307"/>
      <c r="M9" s="1"/>
      <c r="O9" s="278" t="s">
        <v>1008</v>
      </c>
      <c r="P9" s="278"/>
      <c r="Q9" s="337"/>
      <c r="R9" s="347" t="s">
        <v>1009</v>
      </c>
      <c r="S9" s="348"/>
      <c r="T9" s="1"/>
    </row>
    <row r="10" spans="6:20" x14ac:dyDescent="0.25">
      <c r="F10" s="1"/>
      <c r="G10" s="305"/>
      <c r="H10" s="306"/>
      <c r="I10" s="306"/>
      <c r="J10" s="306"/>
      <c r="K10" s="306"/>
      <c r="L10" s="307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08" t="s">
        <v>0</v>
      </c>
      <c r="H11" s="306"/>
      <c r="I11" s="306"/>
      <c r="J11" s="306"/>
      <c r="K11" s="306"/>
      <c r="L11" s="307"/>
      <c r="M11" s="1"/>
    </row>
    <row r="12" spans="6:20" x14ac:dyDescent="0.25">
      <c r="F12" s="48"/>
      <c r="G12" s="309"/>
      <c r="H12" s="310"/>
      <c r="I12" s="310"/>
      <c r="J12" s="310"/>
      <c r="K12" s="310"/>
      <c r="L12" s="311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12" t="s">
        <v>1</v>
      </c>
      <c r="J14" s="312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18" t="s">
        <v>1007</v>
      </c>
      <c r="C17" s="318"/>
      <c r="D17" s="318"/>
      <c r="E17" s="318"/>
      <c r="F17" s="318"/>
      <c r="G17" s="318"/>
      <c r="H17" s="318"/>
      <c r="I17" s="318"/>
      <c r="J17" s="318"/>
      <c r="K17" s="318"/>
      <c r="L17" s="318"/>
      <c r="M17" s="318"/>
      <c r="N17" s="318"/>
      <c r="O17" s="318"/>
      <c r="P17" s="318"/>
      <c r="Q17" s="318"/>
      <c r="R17" s="318"/>
      <c r="S17" s="318"/>
      <c r="T17" s="318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18" t="s">
        <v>1006</v>
      </c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/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18" t="s">
        <v>18</v>
      </c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02" t="s">
        <v>33</v>
      </c>
      <c r="X5" s="303"/>
      <c r="Y5" s="303"/>
      <c r="Z5" s="303"/>
      <c r="AA5" s="304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05"/>
      <c r="X6" s="306"/>
      <c r="Y6" s="306"/>
      <c r="Z6" s="306"/>
      <c r="AA6" s="307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05"/>
      <c r="X7" s="306"/>
      <c r="Y7" s="306"/>
      <c r="Z7" s="306"/>
      <c r="AA7" s="307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05"/>
      <c r="X8" s="306"/>
      <c r="Y8" s="306"/>
      <c r="Z8" s="306"/>
      <c r="AA8" s="307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05"/>
      <c r="X9" s="306"/>
      <c r="Y9" s="306"/>
      <c r="Z9" s="306"/>
      <c r="AA9" s="307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05"/>
      <c r="X10" s="306"/>
      <c r="Y10" s="306"/>
      <c r="Z10" s="306"/>
      <c r="AA10" s="307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05"/>
      <c r="X11" s="306"/>
      <c r="Y11" s="306"/>
      <c r="Z11" s="306"/>
      <c r="AA11" s="307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49"/>
      <c r="X12" s="301"/>
      <c r="Y12" s="301"/>
      <c r="Z12" s="301"/>
      <c r="AA12" s="325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08" t="s">
        <v>0</v>
      </c>
      <c r="X13" s="306"/>
      <c r="Y13" s="306"/>
      <c r="Z13" s="306"/>
      <c r="AA13" s="307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09"/>
      <c r="X14" s="310"/>
      <c r="Y14" s="310"/>
      <c r="Z14" s="310"/>
      <c r="AA14" s="311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12" t="s">
        <v>1</v>
      </c>
      <c r="Z16" s="312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18" t="s">
        <v>29</v>
      </c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18" t="s">
        <v>32</v>
      </c>
      <c r="C28" s="300"/>
      <c r="D28" s="300"/>
      <c r="E28" s="300"/>
      <c r="F28" s="300"/>
      <c r="G28" s="300"/>
      <c r="H28" s="300"/>
      <c r="I28" s="300"/>
      <c r="J28" s="300"/>
      <c r="K28" s="300"/>
      <c r="L28" s="300"/>
      <c r="M28" s="300"/>
      <c r="N28" s="300"/>
      <c r="O28" s="300"/>
      <c r="P28" s="300"/>
      <c r="Q28" s="300"/>
      <c r="R28" s="300"/>
      <c r="S28" s="300"/>
      <c r="T28" s="300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18" t="s">
        <v>34</v>
      </c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ME7 TUNER WIZZARD SETTINGS</vt:lpstr>
      <vt:lpstr>TITLE</vt:lpstr>
      <vt:lpstr>EEPROM MODDER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2012-10-15T22:06:42Z</dcterms:modified>
</cp:coreProperties>
</file>